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https://d.docs.live.net/d2b109ccb9174409/"/>
    </mc:Choice>
  </mc:AlternateContent>
  <xr:revisionPtr revIDLastSave="844" documentId="8_{8D8AA487-E141-4101-B1AB-AB6B7E68FD30}" xr6:coauthVersionLast="47" xr6:coauthVersionMax="47" xr10:uidLastSave="{AB998977-709B-472C-8840-A48AD9BC4AB3}"/>
  <bookViews>
    <workbookView xWindow="-108" yWindow="-108" windowWidth="23256" windowHeight="12456" xr2:uid="{00000000-000D-0000-FFFF-FFFF00000000}"/>
  </bookViews>
  <sheets>
    <sheet name="Dashboard" sheetId="3" r:id="rId1"/>
    <sheet name="Pivot" sheetId="2" r:id="rId2"/>
    <sheet name="Data" sheetId="1" r:id="rId3"/>
  </sheets>
  <definedNames>
    <definedName name="Slicer_Department">#N/A</definedName>
    <definedName name="Slicer_Performance_Rating">#N/A</definedName>
  </definedNames>
  <calcPr calcId="191029"/>
  <pivotCaches>
    <pivotCache cacheId="82"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2" l="1"/>
  <c r="C7" i="2"/>
  <c r="I7" i="2"/>
  <c r="A7" i="2"/>
</calcChain>
</file>

<file path=xl/sharedStrings.xml><?xml version="1.0" encoding="utf-8"?>
<sst xmlns="http://schemas.openxmlformats.org/spreadsheetml/2006/main" count="454" uniqueCount="179">
  <si>
    <t>EmployeeID</t>
  </si>
  <si>
    <t>Name</t>
  </si>
  <si>
    <t>Department</t>
  </si>
  <si>
    <t>Tasks_Completed</t>
  </si>
  <si>
    <t>Errors_Made</t>
  </si>
  <si>
    <t>Hours_Worked</t>
  </si>
  <si>
    <t>EMP001</t>
  </si>
  <si>
    <t>EMP002</t>
  </si>
  <si>
    <t>EMP003</t>
  </si>
  <si>
    <t>EMP004</t>
  </si>
  <si>
    <t>EMP005</t>
  </si>
  <si>
    <t>EMP006</t>
  </si>
  <si>
    <t>EMP007</t>
  </si>
  <si>
    <t>EMP008</t>
  </si>
  <si>
    <t>EMP009</t>
  </si>
  <si>
    <t>EMP010</t>
  </si>
  <si>
    <t>EMP011</t>
  </si>
  <si>
    <t>EMP012</t>
  </si>
  <si>
    <t>EMP013</t>
  </si>
  <si>
    <t>EMP014</t>
  </si>
  <si>
    <t>EMP015</t>
  </si>
  <si>
    <t>EMP016</t>
  </si>
  <si>
    <t>EMP017</t>
  </si>
  <si>
    <t>EMP018</t>
  </si>
  <si>
    <t>EMP019</t>
  </si>
  <si>
    <t>EMP020</t>
  </si>
  <si>
    <t>EMP021</t>
  </si>
  <si>
    <t>EMP022</t>
  </si>
  <si>
    <t>EMP023</t>
  </si>
  <si>
    <t>EMP024</t>
  </si>
  <si>
    <t>EMP025</t>
  </si>
  <si>
    <t>EMP026</t>
  </si>
  <si>
    <t>EMP027</t>
  </si>
  <si>
    <t>EMP028</t>
  </si>
  <si>
    <t>EMP029</t>
  </si>
  <si>
    <t>EMP030</t>
  </si>
  <si>
    <t>EMP031</t>
  </si>
  <si>
    <t>EMP032</t>
  </si>
  <si>
    <t>EMP033</t>
  </si>
  <si>
    <t>EMP034</t>
  </si>
  <si>
    <t>EMP035</t>
  </si>
  <si>
    <t>EMP036</t>
  </si>
  <si>
    <t>EMP037</t>
  </si>
  <si>
    <t>EMP038</t>
  </si>
  <si>
    <t>EMP039</t>
  </si>
  <si>
    <t>EMP040</t>
  </si>
  <si>
    <t>EMP041</t>
  </si>
  <si>
    <t>EMP042</t>
  </si>
  <si>
    <t>EMP043</t>
  </si>
  <si>
    <t>EMP044</t>
  </si>
  <si>
    <t>EMP045</t>
  </si>
  <si>
    <t>EMP046</t>
  </si>
  <si>
    <t>EMP047</t>
  </si>
  <si>
    <t>EMP048</t>
  </si>
  <si>
    <t>EMP049</t>
  </si>
  <si>
    <t>EMP050</t>
  </si>
  <si>
    <t>EMP051</t>
  </si>
  <si>
    <t>EMP052</t>
  </si>
  <si>
    <t>EMP053</t>
  </si>
  <si>
    <t>EMP054</t>
  </si>
  <si>
    <t>EMP055</t>
  </si>
  <si>
    <t>EMP056</t>
  </si>
  <si>
    <t>EMP057</t>
  </si>
  <si>
    <t>EMP058</t>
  </si>
  <si>
    <t>EMP059</t>
  </si>
  <si>
    <t>EMP060</t>
  </si>
  <si>
    <t>EMP061</t>
  </si>
  <si>
    <t>EMP062</t>
  </si>
  <si>
    <t>EMP063</t>
  </si>
  <si>
    <t>EMP064</t>
  </si>
  <si>
    <t>EMP065</t>
  </si>
  <si>
    <t>EMP066</t>
  </si>
  <si>
    <t>EMP067</t>
  </si>
  <si>
    <t>EMP068</t>
  </si>
  <si>
    <t>EMP069</t>
  </si>
  <si>
    <t>EMP070</t>
  </si>
  <si>
    <t>EMP071</t>
  </si>
  <si>
    <t>EMP072</t>
  </si>
  <si>
    <t>EMP073</t>
  </si>
  <si>
    <t>EMP074</t>
  </si>
  <si>
    <t>EMP075</t>
  </si>
  <si>
    <t>EMP076</t>
  </si>
  <si>
    <t>EMP077</t>
  </si>
  <si>
    <t>EMP078</t>
  </si>
  <si>
    <t>EMP079</t>
  </si>
  <si>
    <t>EMP080</t>
  </si>
  <si>
    <t>EMP081</t>
  </si>
  <si>
    <t>EMP082</t>
  </si>
  <si>
    <t>EMP083</t>
  </si>
  <si>
    <t>EMP084</t>
  </si>
  <si>
    <t>EMP085</t>
  </si>
  <si>
    <t>EMP086</t>
  </si>
  <si>
    <t>EMP087</t>
  </si>
  <si>
    <t>EMP088</t>
  </si>
  <si>
    <t>EMP089</t>
  </si>
  <si>
    <t>EMP090</t>
  </si>
  <si>
    <t>EMP091</t>
  </si>
  <si>
    <t>EMP092</t>
  </si>
  <si>
    <t>EMP093</t>
  </si>
  <si>
    <t>EMP094</t>
  </si>
  <si>
    <t>EMP095</t>
  </si>
  <si>
    <t>EMP096</t>
  </si>
  <si>
    <t>EMP097</t>
  </si>
  <si>
    <t>EMP098</t>
  </si>
  <si>
    <t>EMP099</t>
  </si>
  <si>
    <t>EMP100</t>
  </si>
  <si>
    <t>Karthik</t>
  </si>
  <si>
    <t>Divya</t>
  </si>
  <si>
    <t>Akash</t>
  </si>
  <si>
    <t>Swati</t>
  </si>
  <si>
    <t>Poonam</t>
  </si>
  <si>
    <t>Ravi</t>
  </si>
  <si>
    <t>Manasi</t>
  </si>
  <si>
    <t>Ritu</t>
  </si>
  <si>
    <t>Mohan</t>
  </si>
  <si>
    <t>Shreya</t>
  </si>
  <si>
    <t>Amit</t>
  </si>
  <si>
    <t>Aditya</t>
  </si>
  <si>
    <t>Nisha</t>
  </si>
  <si>
    <t>Megha</t>
  </si>
  <si>
    <t>Manoj</t>
  </si>
  <si>
    <t>Omkar</t>
  </si>
  <si>
    <t>Geeta</t>
  </si>
  <si>
    <t>Varun</t>
  </si>
  <si>
    <t>Prakash</t>
  </si>
  <si>
    <t>Rohan</t>
  </si>
  <si>
    <t>Suresh</t>
  </si>
  <si>
    <t>Farhan</t>
  </si>
  <si>
    <t>Tanvi</t>
  </si>
  <si>
    <t>Neha</t>
  </si>
  <si>
    <t>Kavya</t>
  </si>
  <si>
    <t>Arjun</t>
  </si>
  <si>
    <t>Pooja</t>
  </si>
  <si>
    <t>Saanvi</t>
  </si>
  <si>
    <t>Satish</t>
  </si>
  <si>
    <t>Rahul</t>
  </si>
  <si>
    <t>Lakshmi</t>
  </si>
  <si>
    <t>Meera</t>
  </si>
  <si>
    <t>Anil</t>
  </si>
  <si>
    <t>Sneha</t>
  </si>
  <si>
    <t>Dev</t>
  </si>
  <si>
    <t>Deepak</t>
  </si>
  <si>
    <t>Kiran</t>
  </si>
  <si>
    <t>Sonal</t>
  </si>
  <si>
    <t>Ishita</t>
  </si>
  <si>
    <t>Uma</t>
  </si>
  <si>
    <t>Nitin</t>
  </si>
  <si>
    <t>Vikram</t>
  </si>
  <si>
    <t>Priya</t>
  </si>
  <si>
    <t>Vani</t>
  </si>
  <si>
    <t>Harsh</t>
  </si>
  <si>
    <t>Chirag</t>
  </si>
  <si>
    <t>Marketing</t>
  </si>
  <si>
    <t>Sales</t>
  </si>
  <si>
    <t>IT</t>
  </si>
  <si>
    <t>Operations</t>
  </si>
  <si>
    <t>HR</t>
  </si>
  <si>
    <t>Finance</t>
  </si>
  <si>
    <t>Medium</t>
  </si>
  <si>
    <t>Low</t>
  </si>
  <si>
    <t>High</t>
  </si>
  <si>
    <t>Total Employees</t>
  </si>
  <si>
    <t>Total Tasks Completed</t>
  </si>
  <si>
    <t>Average Errors</t>
  </si>
  <si>
    <t>Average Hours Worked</t>
  </si>
  <si>
    <t>Performance Distribution</t>
  </si>
  <si>
    <t>Count of EmployeeID</t>
  </si>
  <si>
    <t>Sum of Tasks_Completed</t>
  </si>
  <si>
    <t>Sum of Errors_Made</t>
  </si>
  <si>
    <t>Average of Errors_Made</t>
  </si>
  <si>
    <t>Average of Hours_Worked</t>
  </si>
  <si>
    <t>Row Labels</t>
  </si>
  <si>
    <t>Top Performers</t>
  </si>
  <si>
    <t>Department Wise Performance Rating</t>
  </si>
  <si>
    <t>Task completed Vs Errors Made</t>
  </si>
  <si>
    <t>Department Wise Errors Rate</t>
  </si>
  <si>
    <t>Error Rate</t>
  </si>
  <si>
    <t>Performance Rating</t>
  </si>
  <si>
    <t>Count of Performance Rating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</si>
</sst>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4"/>
      <color theme="0"/>
      <name val="Calibri"/>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1"/>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17">
    <xf numFmtId="0" fontId="0" fillId="0" borderId="0" xfId="0"/>
    <xf numFmtId="0" fontId="1" fillId="0" borderId="2" xfId="0" applyFont="1" applyBorder="1" applyAlignment="1">
      <alignment horizontal="center" vertical="top"/>
    </xf>
    <xf numFmtId="0" fontId="0" fillId="0" borderId="1" xfId="0" applyBorder="1"/>
    <xf numFmtId="0" fontId="1" fillId="0" borderId="0" xfId="0" applyFont="1"/>
    <xf numFmtId="1" fontId="0" fillId="0" borderId="0" xfId="0" applyNumberFormat="1"/>
    <xf numFmtId="0" fontId="3" fillId="0" borderId="0" xfId="0" applyFont="1"/>
    <xf numFmtId="0" fontId="1" fillId="2" borderId="1" xfId="0" applyFont="1" applyFill="1" applyBorder="1"/>
    <xf numFmtId="0" fontId="0" fillId="0" borderId="0" xfId="0" pivotButton="1"/>
    <xf numFmtId="0" fontId="0" fillId="0" borderId="0" xfId="0" applyAlignment="1">
      <alignment horizontal="left"/>
    </xf>
    <xf numFmtId="1" fontId="1" fillId="0" borderId="0" xfId="0" applyNumberFormat="1" applyFont="1"/>
    <xf numFmtId="0" fontId="2" fillId="0" borderId="0" xfId="0" applyFont="1"/>
    <xf numFmtId="9" fontId="0" fillId="0" borderId="0" xfId="0" applyNumberFormat="1"/>
    <xf numFmtId="0" fontId="2" fillId="0" borderId="0" xfId="0" applyFont="1" applyAlignment="1">
      <alignment horizontal="center"/>
    </xf>
    <xf numFmtId="0" fontId="3" fillId="0" borderId="0" xfId="0" applyFont="1" applyAlignment="1">
      <alignment horizontal="center"/>
    </xf>
    <xf numFmtId="0" fontId="1" fillId="0" borderId="0" xfId="0" applyNumberFormat="1" applyFont="1"/>
    <xf numFmtId="0" fontId="4" fillId="3" borderId="0" xfId="0" applyFont="1" applyFill="1"/>
    <xf numFmtId="1" fontId="4" fillId="3" borderId="0" xfId="0" applyNumberFormat="1" applyFont="1" applyFill="1"/>
  </cellXfs>
  <cellStyles count="1">
    <cellStyle name="Normal" xfId="0" builtinId="0"/>
  </cellStyles>
  <dxfs count="30">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3" formatCode="0%"/>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font>
        <b/>
        <i val="0"/>
        <strike val="0"/>
        <sz val="12"/>
        <color theme="0"/>
      </font>
      <fill>
        <patternFill>
          <fgColor theme="7" tint="0.79998168889431442"/>
          <bgColor theme="7"/>
        </patternFill>
      </fill>
      <border diagonalUp="0" diagonalDown="0">
        <left/>
        <right/>
        <top/>
        <bottom/>
        <vertical/>
        <horizontal/>
      </border>
    </dxf>
    <dxf>
      <font>
        <b/>
        <i val="0"/>
        <strike val="0"/>
        <sz val="14"/>
        <color theme="0"/>
      </font>
      <fill>
        <patternFill patternType="solid">
          <fgColor theme="7" tint="-0.24994659260841701"/>
          <bgColor theme="7" tint="0.39994506668294322"/>
        </patternFill>
      </fill>
      <border diagonalUp="0" diagonalDown="0">
        <left/>
        <right/>
        <top/>
        <bottom/>
        <vertical/>
        <horizontal/>
      </border>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fill>
        <patternFill patternType="none">
          <fgColor indexed="64"/>
          <bgColor auto="1"/>
        </patternFill>
      </fill>
    </dxf>
    <dxf>
      <font>
        <b/>
        <i val="0"/>
        <strike val="0"/>
        <sz val="12"/>
        <color theme="0"/>
      </font>
      <fill>
        <patternFill>
          <fgColor theme="3" tint="0.79998168889431442"/>
          <bgColor theme="4"/>
        </patternFill>
      </fill>
      <border diagonalUp="0" diagonalDown="0">
        <left/>
        <right/>
        <top/>
        <bottom/>
        <vertical/>
        <horizontal/>
      </border>
    </dxf>
    <dxf>
      <font>
        <b/>
        <i val="0"/>
        <strike val="0"/>
        <sz val="12"/>
        <color theme="0"/>
      </font>
      <fill>
        <patternFill patternType="darkGray">
          <fgColor theme="3" tint="-0.499984740745262"/>
          <bgColor theme="3" tint="0.59996337778862885"/>
        </patternFill>
      </fill>
      <border diagonalUp="0" diagonalDown="0">
        <left/>
        <right/>
        <top/>
        <bottom/>
        <vertical/>
        <horizontal/>
      </border>
    </dxf>
  </dxfs>
  <tableStyles count="3" defaultTableStyle="TableStyleMedium9" defaultPivotStyle="PivotStyleLight16">
    <tableStyle name="Slicer Style 1" pivot="0" table="0" count="4" xr9:uid="{01813743-E239-4085-8BE8-28306CB3E4FC}">
      <tableStyleElement type="wholeTable" dxfId="23"/>
      <tableStyleElement type="headerRow" dxfId="22"/>
    </tableStyle>
    <tableStyle name="Slicer Style 1 2" pivot="0" table="0" count="2" xr9:uid="{EF03D3CD-69D3-4684-B1E8-373A70F54AA0}">
      <tableStyleElement type="wholeTable" dxfId="29"/>
      <tableStyleElement type="headerRow" dxfId="28"/>
    </tableStyle>
    <tableStyle name="Slicer Style 2" pivot="0" table="0" count="1" xr9:uid="{9329A665-35D9-48B9-ACBD-2F24965B591D}">
      <tableStyleElement type="headerRow" dxfId="27"/>
    </tableStyle>
  </tableStyles>
  <colors>
    <mruColors>
      <color rgb="FFFDC3F1"/>
      <color rgb="FFFB97E6"/>
      <color rgb="FFF85ED7"/>
      <color rgb="FF2B2137"/>
      <color rgb="FFBB59AF"/>
      <color rgb="FFB09DC3"/>
      <color rgb="FF8E5A9C"/>
      <color rgb="FFCA5EA3"/>
      <color rgb="FFA675B3"/>
      <color rgb="FF0A080C"/>
    </mruColors>
  </colors>
  <extLst>
    <ext xmlns:x14="http://schemas.microsoft.com/office/spreadsheetml/2009/9/main" uri="{46F421CA-312F-682f-3DD2-61675219B42D}">
      <x14:dxfs count="2">
        <dxf>
          <fill>
            <patternFill>
              <bgColor theme="7" tint="-0.24994659260841701"/>
            </patternFill>
          </fill>
        </dxf>
        <dxf>
          <fill>
            <patternFill>
              <bgColor theme="7"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
            <x14:slicerStyleElement type="selectedItemWithNoData" dxfId="0"/>
          </x14:slicerStyleElements>
        </x14:slicerStyle>
        <x14:slicerStyle name="Slicer Style 1 2"/>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microsoft.com/office/2017/10/relationships/person" Target="persons/perso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[Rupali Performance.xlsm]Pivot!PivotTable7</c:name>
    <c:fmtId val="8"/>
  </c:pivotSource>
  <c:chart>
    <c:autoTitleDeleted val="1"/>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60000"/>
              <a:lumOff val="40000"/>
            </a:schemeClr>
          </a:solidFill>
          <a:ln w="19050">
            <a:noFill/>
          </a:ln>
          <a:effectLst/>
        </c:spPr>
      </c:pivotFmt>
      <c:pivotFmt>
        <c:idx val="2"/>
        <c:spPr>
          <a:solidFill>
            <a:schemeClr val="accent4">
              <a:lumMod val="40000"/>
              <a:lumOff val="60000"/>
            </a:schemeClr>
          </a:solidFill>
          <a:ln w="19050">
            <a:noFill/>
          </a:ln>
          <a:effectLst/>
        </c:spPr>
      </c:pivotFmt>
      <c:pivotFmt>
        <c:idx val="3"/>
        <c:spPr>
          <a:solidFill>
            <a:schemeClr val="accent4">
              <a:lumMod val="20000"/>
              <a:lumOff val="80000"/>
            </a:schemeClr>
          </a:solidFill>
          <a:ln w="19050">
            <a:no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lumMod val="60000"/>
              <a:lumOff val="40000"/>
            </a:schemeClr>
          </a:solidFill>
          <a:ln w="19050">
            <a:noFill/>
          </a:ln>
          <a:effectLst/>
        </c:spPr>
      </c:pivotFmt>
      <c:pivotFmt>
        <c:idx val="6"/>
        <c:spPr>
          <a:solidFill>
            <a:schemeClr val="accent4">
              <a:lumMod val="20000"/>
              <a:lumOff val="80000"/>
            </a:schemeClr>
          </a:solidFill>
          <a:ln w="19050">
            <a:noFill/>
          </a:ln>
          <a:effectLst/>
        </c:spPr>
      </c:pivotFmt>
      <c:pivotFmt>
        <c:idx val="7"/>
        <c:spPr>
          <a:solidFill>
            <a:schemeClr val="accent4">
              <a:lumMod val="40000"/>
              <a:lumOff val="60000"/>
            </a:schemeClr>
          </a:solidFill>
          <a:ln w="19050">
            <a:noFill/>
          </a:ln>
          <a:effectLst/>
        </c:spPr>
      </c:pivotFmt>
      <c:pivotFmt>
        <c:idx val="8"/>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lumMod val="50000"/>
            </a:schemeClr>
          </a:solidFill>
          <a:ln w="19050">
            <a:noFill/>
          </a:ln>
          <a:effectLst/>
        </c:spPr>
      </c:pivotFmt>
      <c:pivotFmt>
        <c:idx val="10"/>
        <c:spPr>
          <a:solidFill>
            <a:schemeClr val="accent4">
              <a:lumMod val="20000"/>
              <a:lumOff val="80000"/>
            </a:schemeClr>
          </a:solidFill>
          <a:ln w="19050">
            <a:noFill/>
          </a:ln>
          <a:effectLst/>
        </c:spPr>
      </c:pivotFmt>
      <c:pivotFmt>
        <c:idx val="11"/>
        <c:spPr>
          <a:solidFill>
            <a:schemeClr val="accent4">
              <a:lumMod val="60000"/>
              <a:lumOff val="40000"/>
            </a:schemeClr>
          </a:solidFill>
          <a:ln w="19050">
            <a:no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2B2137"/>
          </a:solidFill>
          <a:ln w="19050">
            <a:solidFill>
              <a:schemeClr val="lt1"/>
            </a:solidFill>
          </a:ln>
          <a:effectLst/>
        </c:spPr>
      </c:pivotFmt>
      <c:pivotFmt>
        <c:idx val="15"/>
        <c:spPr>
          <a:solidFill>
            <a:srgbClr val="B09DC3"/>
          </a:solidFill>
          <a:ln w="19050">
            <a:solidFill>
              <a:schemeClr val="lt1"/>
            </a:solidFill>
          </a:ln>
          <a:effectLst/>
        </c:spPr>
      </c:pivotFmt>
      <c:pivotFmt>
        <c:idx val="16"/>
        <c:spPr>
          <a:solidFill>
            <a:srgbClr val="BB59AF"/>
          </a:solidFill>
          <a:ln w="19050">
            <a:solidFill>
              <a:schemeClr val="lt1"/>
            </a:solidFill>
          </a:ln>
          <a:effectLst/>
        </c:spPr>
      </c:pivotFmt>
    </c:pivotFmts>
    <c:plotArea>
      <c:layout/>
      <c:pieChart>
        <c:varyColors val="1"/>
        <c:ser>
          <c:idx val="0"/>
          <c:order val="0"/>
          <c:tx>
            <c:strRef>
              <c:f>Pivot!$L$3</c:f>
              <c:strCache>
                <c:ptCount val="1"/>
                <c:pt idx="0">
                  <c:v>Total</c:v>
                </c:pt>
              </c:strCache>
            </c:strRef>
          </c:tx>
          <c:spPr>
            <a:solidFill>
              <a:schemeClr val="accent4"/>
            </a:solidFill>
          </c:spPr>
          <c:dPt>
            <c:idx val="0"/>
            <c:bubble3D val="0"/>
            <c:spPr>
              <a:solidFill>
                <a:srgbClr val="2B2137"/>
              </a:solidFill>
              <a:ln w="19050">
                <a:solidFill>
                  <a:schemeClr val="lt1"/>
                </a:solidFill>
              </a:ln>
              <a:effectLst/>
            </c:spPr>
            <c:extLst>
              <c:ext xmlns:c16="http://schemas.microsoft.com/office/drawing/2014/chart" uri="{C3380CC4-5D6E-409C-BE32-E72D297353CC}">
                <c16:uniqueId val="{0000000A-84D1-44AE-9D96-7BD39AF1311E}"/>
              </c:ext>
            </c:extLst>
          </c:dPt>
          <c:dPt>
            <c:idx val="1"/>
            <c:bubble3D val="0"/>
            <c:spPr>
              <a:solidFill>
                <a:srgbClr val="B09DC3"/>
              </a:solidFill>
              <a:ln w="19050">
                <a:solidFill>
                  <a:schemeClr val="lt1"/>
                </a:solidFill>
              </a:ln>
              <a:effectLst/>
            </c:spPr>
            <c:extLst>
              <c:ext xmlns:c16="http://schemas.microsoft.com/office/drawing/2014/chart" uri="{C3380CC4-5D6E-409C-BE32-E72D297353CC}">
                <c16:uniqueId val="{0000000B-84D1-44AE-9D96-7BD39AF1311E}"/>
              </c:ext>
            </c:extLst>
          </c:dPt>
          <c:dPt>
            <c:idx val="2"/>
            <c:bubble3D val="0"/>
            <c:spPr>
              <a:solidFill>
                <a:srgbClr val="BB59AF"/>
              </a:solidFill>
              <a:ln w="19050">
                <a:solidFill>
                  <a:schemeClr val="lt1"/>
                </a:solidFill>
              </a:ln>
              <a:effectLst/>
            </c:spPr>
            <c:extLst>
              <c:ext xmlns:c16="http://schemas.microsoft.com/office/drawing/2014/chart" uri="{C3380CC4-5D6E-409C-BE32-E72D297353CC}">
                <c16:uniqueId val="{0000000C-84D1-44AE-9D96-7BD39AF1311E}"/>
              </c:ext>
            </c:extLst>
          </c:dPt>
          <c:cat>
            <c:strRef>
              <c:f>Pivot!$K$4:$K$6</c:f>
              <c:strCache>
                <c:ptCount val="3"/>
                <c:pt idx="0">
                  <c:v>High</c:v>
                </c:pt>
                <c:pt idx="1">
                  <c:v>Low</c:v>
                </c:pt>
                <c:pt idx="2">
                  <c:v>Medium</c:v>
                </c:pt>
              </c:strCache>
            </c:strRef>
          </c:cat>
          <c:val>
            <c:numRef>
              <c:f>Pivot!$L$4:$L$6</c:f>
              <c:numCache>
                <c:formatCode>0</c:formatCode>
                <c:ptCount val="3"/>
                <c:pt idx="0">
                  <c:v>37</c:v>
                </c:pt>
                <c:pt idx="1">
                  <c:v>32</c:v>
                </c:pt>
                <c:pt idx="2">
                  <c:v>31</c:v>
                </c:pt>
              </c:numCache>
            </c:numRef>
          </c:val>
          <c:extLst>
            <c:ext xmlns:c16="http://schemas.microsoft.com/office/drawing/2014/chart" uri="{C3380CC4-5D6E-409C-BE32-E72D297353CC}">
              <c16:uniqueId val="{00000009-84D1-44AE-9D96-7BD39AF1311E}"/>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[Rupali Performance.xlsm]Pivot!PivotTable11</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B09DC3"/>
          </a:solidFill>
          <a:ln w="19050">
            <a:solidFill>
              <a:schemeClr val="lt1"/>
            </a:solidFill>
          </a:ln>
          <a:effectLst/>
        </c:spPr>
      </c:pivotFmt>
      <c:pivotFmt>
        <c:idx val="2"/>
        <c:spPr>
          <a:solidFill>
            <a:srgbClr val="FB97E6"/>
          </a:solidFill>
          <a:ln w="19050">
            <a:solidFill>
              <a:schemeClr val="lt1"/>
            </a:solidFill>
          </a:ln>
          <a:effectLst/>
        </c:spPr>
      </c:pivotFmt>
      <c:pivotFmt>
        <c:idx val="3"/>
        <c:spPr>
          <a:solidFill>
            <a:schemeClr val="accent4">
              <a:lumMod val="20000"/>
              <a:lumOff val="80000"/>
            </a:schemeClr>
          </a:solidFill>
          <a:ln w="19050">
            <a:solidFill>
              <a:schemeClr val="lt1"/>
            </a:solidFill>
          </a:ln>
          <a:effectLst/>
        </c:spPr>
      </c:pivotFmt>
      <c:pivotFmt>
        <c:idx val="4"/>
        <c:spPr>
          <a:solidFill>
            <a:srgbClr val="CA5EA3"/>
          </a:solidFill>
          <a:ln w="19050">
            <a:solidFill>
              <a:schemeClr val="lt1"/>
            </a:solidFill>
          </a:ln>
          <a:effectLst/>
        </c:spPr>
      </c:pivotFmt>
      <c:pivotFmt>
        <c:idx val="5"/>
        <c:spPr>
          <a:solidFill>
            <a:schemeClr val="accent4">
              <a:lumMod val="75000"/>
            </a:schemeClr>
          </a:solidFill>
          <a:ln w="19050">
            <a:solidFill>
              <a:schemeClr val="lt1"/>
            </a:solidFill>
          </a:ln>
          <a:effectLst/>
        </c:spPr>
      </c:pivotFmt>
      <c:pivotFmt>
        <c:idx val="6"/>
        <c:spPr>
          <a:solidFill>
            <a:srgbClr val="0A080C"/>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B09DC3"/>
          </a:solidFill>
          <a:ln w="19050">
            <a:solidFill>
              <a:schemeClr val="lt1"/>
            </a:solidFill>
          </a:ln>
          <a:effectLst/>
        </c:spPr>
      </c:pivotFmt>
      <c:pivotFmt>
        <c:idx val="9"/>
        <c:spPr>
          <a:solidFill>
            <a:srgbClr val="FB97E6"/>
          </a:solidFill>
          <a:ln w="19050">
            <a:solidFill>
              <a:schemeClr val="lt1"/>
            </a:solidFill>
          </a:ln>
          <a:effectLst/>
        </c:spPr>
      </c:pivotFmt>
      <c:pivotFmt>
        <c:idx val="10"/>
        <c:spPr>
          <a:solidFill>
            <a:schemeClr val="accent4">
              <a:lumMod val="20000"/>
              <a:lumOff val="80000"/>
            </a:schemeClr>
          </a:solidFill>
          <a:ln w="19050">
            <a:solidFill>
              <a:schemeClr val="lt1"/>
            </a:solidFill>
          </a:ln>
          <a:effectLst/>
        </c:spPr>
      </c:pivotFmt>
      <c:pivotFmt>
        <c:idx val="11"/>
        <c:spPr>
          <a:solidFill>
            <a:srgbClr val="0A080C"/>
          </a:solidFill>
          <a:ln w="19050">
            <a:solidFill>
              <a:schemeClr val="lt1"/>
            </a:solidFill>
          </a:ln>
          <a:effectLst/>
        </c:spPr>
      </c:pivotFmt>
      <c:pivotFmt>
        <c:idx val="12"/>
        <c:spPr>
          <a:solidFill>
            <a:schemeClr val="accent4">
              <a:lumMod val="75000"/>
            </a:schemeClr>
          </a:solidFill>
          <a:ln w="19050">
            <a:solidFill>
              <a:schemeClr val="lt1"/>
            </a:solidFill>
          </a:ln>
          <a:effectLst/>
        </c:spPr>
      </c:pivotFmt>
      <c:pivotFmt>
        <c:idx val="13"/>
        <c:spPr>
          <a:solidFill>
            <a:srgbClr val="CA5EA3"/>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B09DC3"/>
          </a:solidFill>
          <a:ln w="19050">
            <a:solidFill>
              <a:schemeClr val="lt1"/>
            </a:solidFill>
          </a:ln>
          <a:effectLst/>
        </c:spPr>
      </c:pivotFmt>
      <c:pivotFmt>
        <c:idx val="16"/>
        <c:spPr>
          <a:solidFill>
            <a:srgbClr val="FB97E6"/>
          </a:solidFill>
          <a:ln w="19050">
            <a:solidFill>
              <a:schemeClr val="lt1"/>
            </a:solidFill>
          </a:ln>
          <a:effectLst/>
        </c:spPr>
      </c:pivotFmt>
      <c:pivotFmt>
        <c:idx val="17"/>
        <c:spPr>
          <a:solidFill>
            <a:schemeClr val="accent4">
              <a:lumMod val="20000"/>
              <a:lumOff val="80000"/>
            </a:schemeClr>
          </a:solidFill>
          <a:ln w="19050">
            <a:solidFill>
              <a:schemeClr val="lt1"/>
            </a:solidFill>
          </a:ln>
          <a:effectLst/>
        </c:spPr>
      </c:pivotFmt>
      <c:pivotFmt>
        <c:idx val="18"/>
        <c:spPr>
          <a:solidFill>
            <a:srgbClr val="0A080C"/>
          </a:solidFill>
          <a:ln w="19050">
            <a:solidFill>
              <a:schemeClr val="lt1"/>
            </a:solidFill>
          </a:ln>
          <a:effectLst/>
        </c:spPr>
      </c:pivotFmt>
      <c:pivotFmt>
        <c:idx val="19"/>
        <c:spPr>
          <a:solidFill>
            <a:schemeClr val="accent4">
              <a:lumMod val="75000"/>
            </a:schemeClr>
          </a:solidFill>
          <a:ln w="19050">
            <a:solidFill>
              <a:schemeClr val="lt1"/>
            </a:solidFill>
          </a:ln>
          <a:effectLst/>
        </c:spPr>
      </c:pivotFmt>
      <c:pivotFmt>
        <c:idx val="20"/>
        <c:spPr>
          <a:solidFill>
            <a:srgbClr val="CA5EA3"/>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lumMod val="75000"/>
            </a:schemeClr>
          </a:solidFill>
          <a:ln w="19050">
            <a:solidFill>
              <a:schemeClr val="lt1"/>
            </a:solidFill>
          </a:ln>
          <a:effectLst/>
        </c:spPr>
      </c:pivotFmt>
      <c:pivotFmt>
        <c:idx val="25"/>
        <c:spPr>
          <a:solidFill>
            <a:srgbClr val="FDC3F1"/>
          </a:solidFill>
          <a:ln w="19050">
            <a:solidFill>
              <a:schemeClr val="lt1"/>
            </a:solidFill>
          </a:ln>
          <a:effectLst/>
        </c:spPr>
      </c:pivotFmt>
      <c:pivotFmt>
        <c:idx val="26"/>
        <c:spPr>
          <a:solidFill>
            <a:srgbClr val="2B2137"/>
          </a:solidFill>
          <a:ln w="19050">
            <a:solidFill>
              <a:schemeClr val="lt1"/>
            </a:solidFill>
          </a:ln>
          <a:effectLst/>
        </c:spPr>
      </c:pivotFmt>
      <c:pivotFmt>
        <c:idx val="27"/>
        <c:spPr>
          <a:solidFill>
            <a:schemeClr val="accent4">
              <a:lumMod val="40000"/>
              <a:lumOff val="60000"/>
            </a:schemeClr>
          </a:solidFill>
          <a:ln w="19050">
            <a:solidFill>
              <a:schemeClr val="lt1"/>
            </a:solidFill>
          </a:ln>
          <a:effectLst/>
        </c:spPr>
      </c:pivotFmt>
      <c:pivotFmt>
        <c:idx val="28"/>
        <c:spPr>
          <a:solidFill>
            <a:srgbClr val="F85ED7"/>
          </a:solidFill>
          <a:ln w="19050">
            <a:solidFill>
              <a:schemeClr val="lt1"/>
            </a:solidFill>
          </a:ln>
          <a:effectLst/>
        </c:spPr>
      </c:pivotFmt>
      <c:pivotFmt>
        <c:idx val="29"/>
        <c:spPr>
          <a:solidFill>
            <a:srgbClr val="FB97E6"/>
          </a:solidFill>
          <a:ln w="19050">
            <a:solidFill>
              <a:schemeClr val="lt1"/>
            </a:solidFill>
          </a:ln>
          <a:effectLst/>
        </c:spPr>
      </c:pivotFmt>
    </c:pivotFmts>
    <c:plotArea>
      <c:layout/>
      <c:pieChart>
        <c:varyColors val="1"/>
        <c:ser>
          <c:idx val="0"/>
          <c:order val="0"/>
          <c:tx>
            <c:strRef>
              <c:f>Pivot!$J$12</c:f>
              <c:strCache>
                <c:ptCount val="1"/>
                <c:pt idx="0">
                  <c:v>Total</c:v>
                </c:pt>
              </c:strCache>
            </c:strRef>
          </c:tx>
          <c:dPt>
            <c:idx val="0"/>
            <c:bubble3D val="0"/>
            <c:spPr>
              <a:solidFill>
                <a:srgbClr val="FDC3F1"/>
              </a:solidFill>
              <a:ln w="19050">
                <a:solidFill>
                  <a:schemeClr val="lt1"/>
                </a:solidFill>
              </a:ln>
              <a:effectLst/>
            </c:spPr>
            <c:extLst>
              <c:ext xmlns:c16="http://schemas.microsoft.com/office/drawing/2014/chart" uri="{C3380CC4-5D6E-409C-BE32-E72D297353CC}">
                <c16:uniqueId val="{00000014-4EF8-4DFD-96D9-1B54AD1674F6}"/>
              </c:ext>
            </c:extLst>
          </c:dPt>
          <c:dPt>
            <c:idx val="1"/>
            <c:bubble3D val="0"/>
            <c:spPr>
              <a:solidFill>
                <a:schemeClr val="accent4">
                  <a:lumMod val="75000"/>
                </a:schemeClr>
              </a:solidFill>
              <a:ln w="19050">
                <a:solidFill>
                  <a:schemeClr val="lt1"/>
                </a:solidFill>
              </a:ln>
              <a:effectLst/>
            </c:spPr>
            <c:extLst>
              <c:ext xmlns:c16="http://schemas.microsoft.com/office/drawing/2014/chart" uri="{C3380CC4-5D6E-409C-BE32-E72D297353CC}">
                <c16:uniqueId val="{00000013-4EF8-4DFD-96D9-1B54AD1674F6}"/>
              </c:ext>
            </c:extLst>
          </c:dPt>
          <c:dPt>
            <c:idx val="2"/>
            <c:bubble3D val="0"/>
            <c:spPr>
              <a:solidFill>
                <a:srgbClr val="F85ED7"/>
              </a:solidFill>
              <a:ln w="19050">
                <a:solidFill>
                  <a:schemeClr val="lt1"/>
                </a:solidFill>
              </a:ln>
              <a:effectLst/>
            </c:spPr>
            <c:extLst>
              <c:ext xmlns:c16="http://schemas.microsoft.com/office/drawing/2014/chart" uri="{C3380CC4-5D6E-409C-BE32-E72D297353CC}">
                <c16:uniqueId val="{00000017-4EF8-4DFD-96D9-1B54AD1674F6}"/>
              </c:ext>
            </c:extLst>
          </c:dPt>
          <c:dPt>
            <c:idx val="3"/>
            <c:bubble3D val="0"/>
            <c:spPr>
              <a:solidFill>
                <a:srgbClr val="FB97E6"/>
              </a:solidFill>
              <a:ln w="19050">
                <a:solidFill>
                  <a:schemeClr val="lt1"/>
                </a:solidFill>
              </a:ln>
              <a:effectLst/>
            </c:spPr>
            <c:extLst>
              <c:ext xmlns:c16="http://schemas.microsoft.com/office/drawing/2014/chart" uri="{C3380CC4-5D6E-409C-BE32-E72D297353CC}">
                <c16:uniqueId val="{00000018-4EF8-4DFD-96D9-1B54AD1674F6}"/>
              </c:ext>
            </c:extLst>
          </c:dPt>
          <c:dPt>
            <c:idx val="4"/>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16-4EF8-4DFD-96D9-1B54AD1674F6}"/>
              </c:ext>
            </c:extLst>
          </c:dPt>
          <c:dPt>
            <c:idx val="5"/>
            <c:bubble3D val="0"/>
            <c:spPr>
              <a:solidFill>
                <a:srgbClr val="2B2137"/>
              </a:solidFill>
              <a:ln w="19050">
                <a:solidFill>
                  <a:schemeClr val="lt1"/>
                </a:solidFill>
              </a:ln>
              <a:effectLst/>
            </c:spPr>
            <c:extLst>
              <c:ext xmlns:c16="http://schemas.microsoft.com/office/drawing/2014/chart" uri="{C3380CC4-5D6E-409C-BE32-E72D297353CC}">
                <c16:uniqueId val="{00000015-4EF8-4DFD-96D9-1B54AD1674F6}"/>
              </c:ext>
            </c:extLst>
          </c:dPt>
          <c:cat>
            <c:strRef>
              <c:f>Pivot!$I$13:$I$18</c:f>
              <c:strCache>
                <c:ptCount val="6"/>
                <c:pt idx="0">
                  <c:v>Finance</c:v>
                </c:pt>
                <c:pt idx="1">
                  <c:v>HR</c:v>
                </c:pt>
                <c:pt idx="2">
                  <c:v>IT</c:v>
                </c:pt>
                <c:pt idx="3">
                  <c:v>Marketing</c:v>
                </c:pt>
                <c:pt idx="4">
                  <c:v>Operations</c:v>
                </c:pt>
                <c:pt idx="5">
                  <c:v>Sales</c:v>
                </c:pt>
              </c:strCache>
            </c:strRef>
          </c:cat>
          <c:val>
            <c:numRef>
              <c:f>Pivot!$J$13:$J$18</c:f>
              <c:numCache>
                <c:formatCode>0</c:formatCode>
                <c:ptCount val="6"/>
                <c:pt idx="0">
                  <c:v>14</c:v>
                </c:pt>
                <c:pt idx="1">
                  <c:v>19</c:v>
                </c:pt>
                <c:pt idx="2">
                  <c:v>20</c:v>
                </c:pt>
                <c:pt idx="3">
                  <c:v>17</c:v>
                </c:pt>
                <c:pt idx="4">
                  <c:v>15</c:v>
                </c:pt>
                <c:pt idx="5">
                  <c:v>15</c:v>
                </c:pt>
              </c:numCache>
            </c:numRef>
          </c:val>
          <c:extLst>
            <c:ext xmlns:c16="http://schemas.microsoft.com/office/drawing/2014/chart" uri="{C3380CC4-5D6E-409C-BE32-E72D297353CC}">
              <c16:uniqueId val="{00000012-4EF8-4DFD-96D9-1B54AD1674F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[Rupali Performance.xlsm]Pivot!PivotTable10</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B97E6"/>
          </a:solidFill>
          <a:ln w="19050">
            <a:solidFill>
              <a:schemeClr val="lt1"/>
            </a:solidFill>
          </a:ln>
          <a:effectLst/>
        </c:spPr>
      </c:pivotFmt>
      <c:pivotFmt>
        <c:idx val="2"/>
        <c:spPr>
          <a:solidFill>
            <a:schemeClr val="accent4">
              <a:lumMod val="50000"/>
            </a:schemeClr>
          </a:solidFill>
          <a:ln w="19050">
            <a:solidFill>
              <a:schemeClr val="lt1"/>
            </a:solidFill>
          </a:ln>
          <a:effectLst/>
        </c:spPr>
      </c:pivotFmt>
      <c:pivotFmt>
        <c:idx val="3"/>
        <c:spPr>
          <a:solidFill>
            <a:schemeClr val="accent4">
              <a:lumMod val="40000"/>
              <a:lumOff val="60000"/>
            </a:schemeClr>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rgbClr val="F85ED7"/>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B97E6"/>
          </a:solidFill>
          <a:ln w="19050">
            <a:solidFill>
              <a:schemeClr val="lt1"/>
            </a:solidFill>
          </a:ln>
          <a:effectLst/>
        </c:spPr>
      </c:pivotFmt>
      <c:pivotFmt>
        <c:idx val="8"/>
        <c:spPr>
          <a:solidFill>
            <a:schemeClr val="accent4">
              <a:lumMod val="50000"/>
            </a:schemeClr>
          </a:solidFill>
          <a:ln w="19050">
            <a:solidFill>
              <a:schemeClr val="lt1"/>
            </a:solidFill>
          </a:ln>
          <a:effectLst/>
        </c:spPr>
      </c:pivotFmt>
      <c:pivotFmt>
        <c:idx val="9"/>
        <c:spPr>
          <a:solidFill>
            <a:schemeClr val="accent4">
              <a:lumMod val="40000"/>
              <a:lumOff val="60000"/>
            </a:schemeClr>
          </a:solidFill>
          <a:ln w="19050">
            <a:solidFill>
              <a:schemeClr val="lt1"/>
            </a:solidFill>
          </a:ln>
          <a:effectLst/>
        </c:spPr>
      </c:pivotFmt>
      <c:pivotFmt>
        <c:idx val="10"/>
        <c:spPr>
          <a:solidFill>
            <a:srgbClr val="F85ED7"/>
          </a:solidFill>
          <a:ln w="19050">
            <a:solidFill>
              <a:schemeClr val="lt1"/>
            </a:solidFill>
          </a:ln>
          <a:effectLst/>
        </c:spPr>
      </c:pivotFmt>
      <c:pivotFmt>
        <c:idx val="11"/>
        <c:spPr>
          <a:solidFill>
            <a:schemeClr val="accent4"/>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FB97E6"/>
          </a:solidFill>
          <a:ln w="19050">
            <a:solidFill>
              <a:schemeClr val="lt1"/>
            </a:solidFill>
          </a:ln>
          <a:effectLst/>
        </c:spPr>
      </c:pivotFmt>
      <c:pivotFmt>
        <c:idx val="14"/>
        <c:spPr>
          <a:solidFill>
            <a:schemeClr val="accent4">
              <a:lumMod val="50000"/>
            </a:schemeClr>
          </a:solidFill>
          <a:ln w="19050">
            <a:solidFill>
              <a:schemeClr val="lt1"/>
            </a:solidFill>
          </a:ln>
          <a:effectLst/>
        </c:spPr>
      </c:pivotFmt>
      <c:pivotFmt>
        <c:idx val="15"/>
        <c:spPr>
          <a:solidFill>
            <a:schemeClr val="accent4">
              <a:lumMod val="40000"/>
              <a:lumOff val="60000"/>
            </a:schemeClr>
          </a:solidFill>
          <a:ln w="19050">
            <a:solidFill>
              <a:schemeClr val="lt1"/>
            </a:solidFill>
          </a:ln>
          <a:effectLst/>
        </c:spPr>
      </c:pivotFmt>
      <c:pivotFmt>
        <c:idx val="16"/>
        <c:spPr>
          <a:solidFill>
            <a:srgbClr val="F85ED7"/>
          </a:solidFill>
          <a:ln w="19050">
            <a:solidFill>
              <a:schemeClr val="lt1"/>
            </a:solidFill>
          </a:ln>
          <a:effectLst/>
        </c:spPr>
      </c:pivotFmt>
      <c:pivotFmt>
        <c:idx val="17"/>
        <c:spPr>
          <a:solidFill>
            <a:schemeClr val="accent4"/>
          </a:solidFill>
          <a:ln w="19050">
            <a:solidFill>
              <a:schemeClr val="lt1"/>
            </a:solidFill>
          </a:ln>
          <a:effectLst/>
        </c:spPr>
      </c:pivotFmt>
    </c:pivotFmts>
    <c:plotArea>
      <c:layout/>
      <c:pieChart>
        <c:varyColors val="1"/>
        <c:ser>
          <c:idx val="0"/>
          <c:order val="0"/>
          <c:tx>
            <c:strRef>
              <c:f>Pivot!$G$12</c:f>
              <c:strCache>
                <c:ptCount val="1"/>
                <c:pt idx="0">
                  <c:v>Total</c:v>
                </c:pt>
              </c:strCache>
            </c:strRef>
          </c:tx>
          <c:dPt>
            <c:idx val="0"/>
            <c:bubble3D val="0"/>
            <c:spPr>
              <a:solidFill>
                <a:srgbClr val="FB97E6"/>
              </a:solidFill>
              <a:ln w="19050">
                <a:solidFill>
                  <a:schemeClr val="lt1"/>
                </a:solidFill>
              </a:ln>
              <a:effectLst/>
            </c:spPr>
            <c:extLst>
              <c:ext xmlns:c16="http://schemas.microsoft.com/office/drawing/2014/chart" uri="{C3380CC4-5D6E-409C-BE32-E72D297353CC}">
                <c16:uniqueId val="{00000001-1872-4085-98E4-EEBED0A4B84D}"/>
              </c:ext>
            </c:extLst>
          </c:dPt>
          <c:dPt>
            <c:idx val="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03-1872-4085-98E4-EEBED0A4B84D}"/>
              </c:ext>
            </c:extLst>
          </c:dPt>
          <c:dPt>
            <c:idx val="2"/>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5-1872-4085-98E4-EEBED0A4B84D}"/>
              </c:ext>
            </c:extLst>
          </c:dPt>
          <c:dPt>
            <c:idx val="3"/>
            <c:bubble3D val="0"/>
            <c:spPr>
              <a:solidFill>
                <a:srgbClr val="F85ED7"/>
              </a:solidFill>
              <a:ln w="19050">
                <a:solidFill>
                  <a:schemeClr val="lt1"/>
                </a:solidFill>
              </a:ln>
              <a:effectLst/>
            </c:spPr>
            <c:extLst>
              <c:ext xmlns:c16="http://schemas.microsoft.com/office/drawing/2014/chart" uri="{C3380CC4-5D6E-409C-BE32-E72D297353CC}">
                <c16:uniqueId val="{00000007-1872-4085-98E4-EEBED0A4B84D}"/>
              </c:ext>
            </c:extLst>
          </c:dPt>
          <c:dPt>
            <c:idx val="4"/>
            <c:bubble3D val="0"/>
            <c:spPr>
              <a:solidFill>
                <a:schemeClr val="accent4"/>
              </a:solidFill>
              <a:ln w="19050">
                <a:solidFill>
                  <a:schemeClr val="lt1"/>
                </a:solidFill>
              </a:ln>
              <a:effectLst/>
            </c:spPr>
            <c:extLst>
              <c:ext xmlns:c16="http://schemas.microsoft.com/office/drawing/2014/chart" uri="{C3380CC4-5D6E-409C-BE32-E72D297353CC}">
                <c16:uniqueId val="{00000009-1872-4085-98E4-EEBED0A4B84D}"/>
              </c:ext>
            </c:extLst>
          </c:dPt>
          <c:cat>
            <c:strRef>
              <c:f>Pivot!$F$13:$F$17</c:f>
              <c:strCache>
                <c:ptCount val="5"/>
                <c:pt idx="0">
                  <c:v>Geeta</c:v>
                </c:pt>
                <c:pt idx="1">
                  <c:v>Megha</c:v>
                </c:pt>
                <c:pt idx="2">
                  <c:v>Poonam</c:v>
                </c:pt>
                <c:pt idx="3">
                  <c:v>Shreya</c:v>
                </c:pt>
                <c:pt idx="4">
                  <c:v>Varun</c:v>
                </c:pt>
              </c:strCache>
            </c:strRef>
          </c:cat>
          <c:val>
            <c:numRef>
              <c:f>Pivot!$G$13:$G$17</c:f>
              <c:numCache>
                <c:formatCode>0</c:formatCode>
                <c:ptCount val="5"/>
                <c:pt idx="0">
                  <c:v>386</c:v>
                </c:pt>
                <c:pt idx="1">
                  <c:v>542</c:v>
                </c:pt>
                <c:pt idx="2">
                  <c:v>362</c:v>
                </c:pt>
                <c:pt idx="3">
                  <c:v>761</c:v>
                </c:pt>
                <c:pt idx="4">
                  <c:v>522</c:v>
                </c:pt>
              </c:numCache>
            </c:numRef>
          </c:val>
          <c:extLst>
            <c:ext xmlns:c16="http://schemas.microsoft.com/office/drawing/2014/chart" uri="{C3380CC4-5D6E-409C-BE32-E72D297353CC}">
              <c16:uniqueId val="{0000000A-FFD2-49C6-9261-05364000EFA5}"/>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3262051618547683"/>
          <c:y val="0.33246391076115489"/>
          <c:w val="0.13042104111986003"/>
          <c:h val="0.3906277340332458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[Rupali Performance.xlsm]Pivot!PivotTable13</c:name>
    <c:fmtId val="29"/>
  </c:pivotSource>
  <c:chart>
    <c:autoTitleDeleted val="1"/>
    <c:pivotFmts>
      <c:pivotFmt>
        <c:idx val="0"/>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Pivot!$B$12</c:f>
              <c:strCache>
                <c:ptCount val="1"/>
                <c:pt idx="0">
                  <c:v>Total</c:v>
                </c:pt>
              </c:strCache>
            </c:strRef>
          </c:tx>
          <c:spPr>
            <a:solidFill>
              <a:schemeClr val="accent4">
                <a:lumMod val="75000"/>
              </a:schemeClr>
            </a:solidFill>
            <a:ln>
              <a:noFill/>
            </a:ln>
            <a:effectLst/>
          </c:spPr>
          <c:invertIfNegative val="0"/>
          <c:cat>
            <c:strRef>
              <c:f>Pivot!$A$13:$A$18</c:f>
              <c:strCache>
                <c:ptCount val="6"/>
                <c:pt idx="0">
                  <c:v>Finance</c:v>
                </c:pt>
                <c:pt idx="1">
                  <c:v>HR</c:v>
                </c:pt>
                <c:pt idx="2">
                  <c:v>IT</c:v>
                </c:pt>
                <c:pt idx="3">
                  <c:v>Marketing</c:v>
                </c:pt>
                <c:pt idx="4">
                  <c:v>Operations</c:v>
                </c:pt>
                <c:pt idx="5">
                  <c:v>Sales</c:v>
                </c:pt>
              </c:strCache>
            </c:strRef>
          </c:cat>
          <c:val>
            <c:numRef>
              <c:f>Pivot!$B$13:$B$18</c:f>
              <c:numCache>
                <c:formatCode>0%</c:formatCode>
                <c:ptCount val="6"/>
                <c:pt idx="0">
                  <c:v>0.10260115606936417</c:v>
                </c:pt>
                <c:pt idx="1">
                  <c:v>8.0831408775981523E-2</c:v>
                </c:pt>
                <c:pt idx="2">
                  <c:v>9.375E-2</c:v>
                </c:pt>
                <c:pt idx="3">
                  <c:v>0.11836962590731435</c:v>
                </c:pt>
                <c:pt idx="4">
                  <c:v>0.11533586818757921</c:v>
                </c:pt>
                <c:pt idx="5">
                  <c:v>0.10822784810126582</c:v>
                </c:pt>
              </c:numCache>
            </c:numRef>
          </c:val>
          <c:extLst>
            <c:ext xmlns:c16="http://schemas.microsoft.com/office/drawing/2014/chart" uri="{C3380CC4-5D6E-409C-BE32-E72D297353CC}">
              <c16:uniqueId val="{00000000-069C-4D4E-A1D9-12308FF33AD0}"/>
            </c:ext>
          </c:extLst>
        </c:ser>
        <c:dLbls>
          <c:showLegendKey val="0"/>
          <c:showVal val="0"/>
          <c:showCatName val="0"/>
          <c:showSerName val="0"/>
          <c:showPercent val="0"/>
          <c:showBubbleSize val="0"/>
        </c:dLbls>
        <c:gapWidth val="182"/>
        <c:axId val="1832165823"/>
        <c:axId val="1832167263"/>
      </c:barChart>
      <c:catAx>
        <c:axId val="18321658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32167263"/>
        <c:crosses val="autoZero"/>
        <c:auto val="1"/>
        <c:lblAlgn val="ctr"/>
        <c:lblOffset val="100"/>
        <c:noMultiLvlLbl val="0"/>
      </c:catAx>
      <c:valAx>
        <c:axId val="183216726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321658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[Rupali Performance.xlsm]Pivot!PivotTable12</c:name>
    <c:fmtId val="8"/>
  </c:pivotSource>
  <c:chart>
    <c:autoTitleDeleted val="0"/>
    <c:pivotFmts>
      <c:pivotFmt>
        <c:idx val="0"/>
        <c:spPr>
          <a:solidFill>
            <a:srgbClr val="FB97E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B97E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B97E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lumMod val="5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accent4">
            <a:lumMod val="60000"/>
            <a:lumOff val="40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Pivot!$O$3</c:f>
              <c:strCache>
                <c:ptCount val="1"/>
                <c:pt idx="0">
                  <c:v>Sum of Tasks_Completed</c:v>
                </c:pt>
              </c:strCache>
            </c:strRef>
          </c:tx>
          <c:spPr>
            <a:solidFill>
              <a:srgbClr val="FB97E6"/>
            </a:solidFill>
            <a:ln>
              <a:noFill/>
            </a:ln>
            <a:effectLst/>
            <a:sp3d/>
          </c:spPr>
          <c:invertIfNegative val="0"/>
          <c:cat>
            <c:strRef>
              <c:f>Pivot!$O$4</c:f>
              <c:strCache>
                <c:ptCount val="1"/>
                <c:pt idx="0">
                  <c:v>Total</c:v>
                </c:pt>
              </c:strCache>
            </c:strRef>
          </c:cat>
          <c:val>
            <c:numRef>
              <c:f>Pivot!$O$4</c:f>
              <c:numCache>
                <c:formatCode>0</c:formatCode>
                <c:ptCount val="1"/>
                <c:pt idx="0">
                  <c:v>10962</c:v>
                </c:pt>
              </c:numCache>
            </c:numRef>
          </c:val>
          <c:extLst>
            <c:ext xmlns:c16="http://schemas.microsoft.com/office/drawing/2014/chart" uri="{C3380CC4-5D6E-409C-BE32-E72D297353CC}">
              <c16:uniqueId val="{00000000-189B-47C0-8F84-B9C6977DD17C}"/>
            </c:ext>
          </c:extLst>
        </c:ser>
        <c:ser>
          <c:idx val="1"/>
          <c:order val="1"/>
          <c:tx>
            <c:strRef>
              <c:f>Pivot!$P$3</c:f>
              <c:strCache>
                <c:ptCount val="1"/>
                <c:pt idx="0">
                  <c:v>Sum of Errors_Made</c:v>
                </c:pt>
              </c:strCache>
            </c:strRef>
          </c:tx>
          <c:spPr>
            <a:solidFill>
              <a:schemeClr val="accent4">
                <a:lumMod val="50000"/>
              </a:schemeClr>
            </a:solidFill>
            <a:ln>
              <a:noFill/>
            </a:ln>
            <a:effectLst/>
            <a:sp3d/>
          </c:spPr>
          <c:invertIfNegative val="0"/>
          <c:cat>
            <c:strRef>
              <c:f>Pivot!$O$4</c:f>
              <c:strCache>
                <c:ptCount val="1"/>
                <c:pt idx="0">
                  <c:v>Total</c:v>
                </c:pt>
              </c:strCache>
            </c:strRef>
          </c:cat>
          <c:val>
            <c:numRef>
              <c:f>Pivot!$P$4</c:f>
              <c:numCache>
                <c:formatCode>0</c:formatCode>
                <c:ptCount val="1"/>
                <c:pt idx="0">
                  <c:v>1113</c:v>
                </c:pt>
              </c:numCache>
            </c:numRef>
          </c:val>
          <c:extLst>
            <c:ext xmlns:c16="http://schemas.microsoft.com/office/drawing/2014/chart" uri="{C3380CC4-5D6E-409C-BE32-E72D297353CC}">
              <c16:uniqueId val="{00000001-189B-47C0-8F84-B9C6977DD17C}"/>
            </c:ext>
          </c:extLst>
        </c:ser>
        <c:dLbls>
          <c:showLegendKey val="0"/>
          <c:showVal val="0"/>
          <c:showCatName val="0"/>
          <c:showSerName val="0"/>
          <c:showPercent val="0"/>
          <c:showBubbleSize val="0"/>
        </c:dLbls>
        <c:gapWidth val="150"/>
        <c:shape val="box"/>
        <c:axId val="1774446559"/>
        <c:axId val="1774464799"/>
        <c:axId val="0"/>
      </c:bar3DChart>
      <c:catAx>
        <c:axId val="1774446559"/>
        <c:scaling>
          <c:orientation val="minMax"/>
        </c:scaling>
        <c:delete val="1"/>
        <c:axPos val="b"/>
        <c:numFmt formatCode="General" sourceLinked="1"/>
        <c:majorTickMark val="none"/>
        <c:minorTickMark val="none"/>
        <c:tickLblPos val="nextTo"/>
        <c:crossAx val="1774464799"/>
        <c:crosses val="autoZero"/>
        <c:auto val="1"/>
        <c:lblAlgn val="ctr"/>
        <c:lblOffset val="100"/>
        <c:noMultiLvlLbl val="0"/>
      </c:catAx>
      <c:valAx>
        <c:axId val="1774464799"/>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74446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chart" Target="../charts/chart3.xml"/><Relationship Id="rId12"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image" Target="../media/image6.svg"/><Relationship Id="rId5" Type="http://schemas.openxmlformats.org/officeDocument/2006/relationships/chart" Target="../charts/chart1.xml"/><Relationship Id="rId15" Type="http://schemas.openxmlformats.org/officeDocument/2006/relationships/image" Target="../media/image10.svg"/><Relationship Id="rId10" Type="http://schemas.openxmlformats.org/officeDocument/2006/relationships/image" Target="../media/image5.png"/><Relationship Id="rId4" Type="http://schemas.openxmlformats.org/officeDocument/2006/relationships/image" Target="../media/image4.svg"/><Relationship Id="rId9" Type="http://schemas.openxmlformats.org/officeDocument/2006/relationships/chart" Target="../charts/chart5.xml"/><Relationship Id="rId1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0</xdr:col>
      <xdr:colOff>459277</xdr:colOff>
      <xdr:row>0</xdr:row>
      <xdr:rowOff>50073</xdr:rowOff>
    </xdr:from>
    <xdr:to>
      <xdr:col>23</xdr:col>
      <xdr:colOff>567046</xdr:colOff>
      <xdr:row>45</xdr:row>
      <xdr:rowOff>4947</xdr:rowOff>
    </xdr:to>
    <xdr:sp macro="" textlink="">
      <xdr:nvSpPr>
        <xdr:cNvPr id="3" name="Rectangle 2">
          <a:extLst>
            <a:ext uri="{FF2B5EF4-FFF2-40B4-BE49-F238E27FC236}">
              <a16:creationId xmlns:a16="http://schemas.microsoft.com/office/drawing/2014/main" id="{D19E962D-208E-9B61-4D30-621D79CA492D}"/>
            </a:ext>
          </a:extLst>
        </xdr:cNvPr>
        <xdr:cNvSpPr/>
      </xdr:nvSpPr>
      <xdr:spPr>
        <a:xfrm>
          <a:off x="459277" y="50073"/>
          <a:ext cx="14128569" cy="8059783"/>
        </a:xfrm>
        <a:prstGeom prst="rect">
          <a:avLst/>
        </a:prstGeom>
        <a:solidFill>
          <a:srgbClr val="8E5A9C"/>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effectLst/>
          </a:endParaRPr>
        </a:p>
      </xdr:txBody>
    </xdr:sp>
    <xdr:clientData/>
  </xdr:twoCellAnchor>
  <xdr:twoCellAnchor>
    <xdr:from>
      <xdr:col>1</xdr:col>
      <xdr:colOff>38100</xdr:colOff>
      <xdr:row>0</xdr:row>
      <xdr:rowOff>114300</xdr:rowOff>
    </xdr:from>
    <xdr:to>
      <xdr:col>18</xdr:col>
      <xdr:colOff>175260</xdr:colOff>
      <xdr:row>4</xdr:row>
      <xdr:rowOff>64981</xdr:rowOff>
    </xdr:to>
    <xdr:sp macro="" textlink="">
      <xdr:nvSpPr>
        <xdr:cNvPr id="4" name="TextBox 3">
          <a:extLst>
            <a:ext uri="{FF2B5EF4-FFF2-40B4-BE49-F238E27FC236}">
              <a16:creationId xmlns:a16="http://schemas.microsoft.com/office/drawing/2014/main" id="{70344A59-B566-E919-A3C2-788B04CF3FF5}"/>
            </a:ext>
          </a:extLst>
        </xdr:cNvPr>
        <xdr:cNvSpPr txBox="1"/>
      </xdr:nvSpPr>
      <xdr:spPr>
        <a:xfrm>
          <a:off x="647700" y="114300"/>
          <a:ext cx="10500360" cy="690910"/>
        </a:xfrm>
        <a:prstGeom prst="rect">
          <a:avLst/>
        </a:prstGeom>
        <a:solidFill>
          <a:srgbClr val="8E5A9C"/>
        </a:solidFill>
        <a:ln w="9525" cmpd="sng">
          <a:noFill/>
          <a:prstDash val="sysDash"/>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4000">
              <a:solidFill>
                <a:schemeClr val="bg1"/>
              </a:solidFill>
              <a:latin typeface="Bahnschrift SemiBold" panose="020B0502040204020203" pitchFamily="34" charset="0"/>
            </a:rPr>
            <a:t>              </a:t>
          </a:r>
          <a:r>
            <a:rPr lang="en-IN" sz="4000" b="1">
              <a:solidFill>
                <a:schemeClr val="bg1"/>
              </a:solidFill>
              <a:effectLst>
                <a:outerShdw blurRad="50800" dist="38100" dir="5400000" algn="t" rotWithShape="0">
                  <a:prstClr val="black">
                    <a:alpha val="40000"/>
                  </a:prstClr>
                </a:outerShdw>
              </a:effectLst>
              <a:latin typeface="Arial Rounded MT Bold" panose="020F0704030504030204" pitchFamily="34" charset="0"/>
            </a:rPr>
            <a:t>Employee</a:t>
          </a:r>
          <a:r>
            <a:rPr lang="en-IN" sz="4000" b="1" baseline="0">
              <a:solidFill>
                <a:schemeClr val="bg1"/>
              </a:solidFill>
              <a:effectLst>
                <a:outerShdw blurRad="50800" dist="38100" dir="5400000" algn="t" rotWithShape="0">
                  <a:prstClr val="black">
                    <a:alpha val="40000"/>
                  </a:prstClr>
                </a:outerShdw>
              </a:effectLst>
              <a:latin typeface="Arial Rounded MT Bold" panose="020F0704030504030204" pitchFamily="34" charset="0"/>
            </a:rPr>
            <a:t> Performance Analysis</a:t>
          </a:r>
          <a:endParaRPr lang="en-IN" sz="4000" b="1">
            <a:solidFill>
              <a:schemeClr val="bg1"/>
            </a:solidFill>
            <a:effectLst>
              <a:outerShdw blurRad="50800" dist="38100" dir="5400000" algn="t" rotWithShape="0">
                <a:prstClr val="black">
                  <a:alpha val="40000"/>
                </a:prstClr>
              </a:outerShdw>
            </a:effectLst>
            <a:latin typeface="Arial Rounded MT Bold" panose="020F0704030504030204" pitchFamily="34" charset="0"/>
          </a:endParaRPr>
        </a:p>
      </xdr:txBody>
    </xdr:sp>
    <xdr:clientData/>
  </xdr:twoCellAnchor>
  <xdr:twoCellAnchor>
    <xdr:from>
      <xdr:col>1</xdr:col>
      <xdr:colOff>92207</xdr:colOff>
      <xdr:row>6</xdr:row>
      <xdr:rowOff>32656</xdr:rowOff>
    </xdr:from>
    <xdr:to>
      <xdr:col>23</xdr:col>
      <xdr:colOff>313764</xdr:colOff>
      <xdr:row>44</xdr:row>
      <xdr:rowOff>0</xdr:rowOff>
    </xdr:to>
    <xdr:sp macro="" textlink="">
      <xdr:nvSpPr>
        <xdr:cNvPr id="5" name="Rectangle 4">
          <a:extLst>
            <a:ext uri="{FF2B5EF4-FFF2-40B4-BE49-F238E27FC236}">
              <a16:creationId xmlns:a16="http://schemas.microsoft.com/office/drawing/2014/main" id="{D2727979-4124-5779-5A5C-D9637103A627}"/>
            </a:ext>
          </a:extLst>
        </xdr:cNvPr>
        <xdr:cNvSpPr/>
      </xdr:nvSpPr>
      <xdr:spPr>
        <a:xfrm>
          <a:off x="701807" y="1108421"/>
          <a:ext cx="13632757" cy="6780520"/>
        </a:xfrm>
        <a:prstGeom prst="rect">
          <a:avLst/>
        </a:prstGeom>
        <a:solidFill>
          <a:schemeClr val="bg2"/>
        </a:solidFill>
        <a:ln>
          <a:noFill/>
        </a:ln>
        <a:effectLst>
          <a:outerShdw blurRad="63500" sx="102000" sy="102000" algn="ctr" rotWithShape="0">
            <a:schemeClr val="accent4">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effectLst>
                <a:outerShdw blurRad="50800" dist="50800" dir="5400000" algn="ctr" rotWithShape="0">
                  <a:schemeClr val="bg2"/>
                </a:outerShdw>
              </a:effectLst>
            </a:rPr>
            <a:t>,</a:t>
          </a:r>
        </a:p>
      </xdr:txBody>
    </xdr:sp>
    <xdr:clientData/>
  </xdr:twoCellAnchor>
  <xdr:twoCellAnchor>
    <xdr:from>
      <xdr:col>1</xdr:col>
      <xdr:colOff>213231</xdr:colOff>
      <xdr:row>6</xdr:row>
      <xdr:rowOff>161363</xdr:rowOff>
    </xdr:from>
    <xdr:to>
      <xdr:col>4</xdr:col>
      <xdr:colOff>313764</xdr:colOff>
      <xdr:row>12</xdr:row>
      <xdr:rowOff>35859</xdr:rowOff>
    </xdr:to>
    <xdr:sp macro="" textlink="">
      <xdr:nvSpPr>
        <xdr:cNvPr id="6" name="Rectangle 5">
          <a:extLst>
            <a:ext uri="{FF2B5EF4-FFF2-40B4-BE49-F238E27FC236}">
              <a16:creationId xmlns:a16="http://schemas.microsoft.com/office/drawing/2014/main" id="{9A0B3396-0330-6FEF-557E-A0A4B649F77F}"/>
            </a:ext>
          </a:extLst>
        </xdr:cNvPr>
        <xdr:cNvSpPr/>
      </xdr:nvSpPr>
      <xdr:spPr>
        <a:xfrm>
          <a:off x="822831" y="1237128"/>
          <a:ext cx="1929333" cy="950260"/>
        </a:xfrm>
        <a:prstGeom prst="rect">
          <a:avLst/>
        </a:prstGeom>
        <a:solidFill>
          <a:schemeClr val="accent4">
            <a:lumMod val="75000"/>
          </a:schemeClr>
        </a:solidFill>
        <a:ln w="44450">
          <a:solidFill>
            <a:srgbClr val="92D050">
              <a:alpha val="96000"/>
            </a:srgbClr>
          </a:solidFill>
        </a:ln>
        <a:effectLst>
          <a:glow rad="63500">
            <a:schemeClr val="accent4">
              <a:lumMod val="20000"/>
              <a:lumOff val="80000"/>
              <a:alpha val="40000"/>
            </a:schemeClr>
          </a:glow>
          <a:outerShdw blurRad="50800" dist="38100" dir="8100000" algn="tr" rotWithShape="0">
            <a:schemeClr val="accent4">
              <a:lumMod val="20000"/>
              <a:lumOff val="80000"/>
              <a:alpha val="40000"/>
            </a:schemeClr>
          </a:outerShdw>
          <a:softEdge rad="508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547615</xdr:colOff>
      <xdr:row>6</xdr:row>
      <xdr:rowOff>142153</xdr:rowOff>
    </xdr:from>
    <xdr:to>
      <xdr:col>8</xdr:col>
      <xdr:colOff>251010</xdr:colOff>
      <xdr:row>12</xdr:row>
      <xdr:rowOff>71718</xdr:rowOff>
    </xdr:to>
    <xdr:sp macro="" textlink="">
      <xdr:nvSpPr>
        <xdr:cNvPr id="15" name="Rectangle 14">
          <a:extLst>
            <a:ext uri="{FF2B5EF4-FFF2-40B4-BE49-F238E27FC236}">
              <a16:creationId xmlns:a16="http://schemas.microsoft.com/office/drawing/2014/main" id="{8F936C3F-9B03-4BB1-A0B0-FEBFD15E52B7}"/>
            </a:ext>
          </a:extLst>
        </xdr:cNvPr>
        <xdr:cNvSpPr/>
      </xdr:nvSpPr>
      <xdr:spPr>
        <a:xfrm>
          <a:off x="2986015" y="1217918"/>
          <a:ext cx="2141795" cy="1005329"/>
        </a:xfrm>
        <a:prstGeom prst="rect">
          <a:avLst/>
        </a:prstGeom>
        <a:solidFill>
          <a:schemeClr val="accent4">
            <a:lumMod val="75000"/>
          </a:schemeClr>
        </a:solidFill>
        <a:ln>
          <a:solidFill>
            <a:srgbClr val="92D050"/>
          </a:solidFill>
        </a:ln>
        <a:effectLst>
          <a:glow rad="63500">
            <a:schemeClr val="accent4">
              <a:lumMod val="20000"/>
              <a:lumOff val="80000"/>
              <a:alpha val="40000"/>
            </a:schemeClr>
          </a:glow>
          <a:outerShdw blurRad="50800" dist="38100" dir="5400000" algn="t" rotWithShape="0">
            <a:schemeClr val="accent4">
              <a:lumMod val="20000"/>
              <a:lumOff val="80000"/>
              <a:alpha val="40000"/>
            </a:schemeClr>
          </a:outerShdw>
          <a:softEdge rad="508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435429</xdr:colOff>
      <xdr:row>6</xdr:row>
      <xdr:rowOff>113211</xdr:rowOff>
    </xdr:from>
    <xdr:to>
      <xdr:col>23</xdr:col>
      <xdr:colOff>250371</xdr:colOff>
      <xdr:row>18</xdr:row>
      <xdr:rowOff>32657</xdr:rowOff>
    </xdr:to>
    <xdr:sp macro="" textlink="">
      <xdr:nvSpPr>
        <xdr:cNvPr id="16" name="Rectangle 15">
          <a:extLst>
            <a:ext uri="{FF2B5EF4-FFF2-40B4-BE49-F238E27FC236}">
              <a16:creationId xmlns:a16="http://schemas.microsoft.com/office/drawing/2014/main" id="{F7512FF3-5EC6-4706-AF52-9E414F92E19C}"/>
            </a:ext>
          </a:extLst>
        </xdr:cNvPr>
        <xdr:cNvSpPr/>
      </xdr:nvSpPr>
      <xdr:spPr>
        <a:xfrm>
          <a:off x="10189029" y="1193866"/>
          <a:ext cx="4082142" cy="2080755"/>
        </a:xfrm>
        <a:prstGeom prst="rect">
          <a:avLst/>
        </a:prstGeom>
        <a:solidFill>
          <a:schemeClr val="accent4">
            <a:lumMod val="75000"/>
          </a:schemeClr>
        </a:solidFill>
        <a:ln>
          <a:noFill/>
        </a:ln>
        <a:effectLst>
          <a:glow rad="63500">
            <a:schemeClr val="accent4">
              <a:lumMod val="20000"/>
              <a:lumOff val="80000"/>
              <a:alpha val="40000"/>
            </a:schemeClr>
          </a:glow>
          <a:outerShdw blurRad="50800" dist="38100" dir="5400000" algn="t" rotWithShape="0">
            <a:schemeClr val="accent4">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18</xdr:col>
      <xdr:colOff>3843</xdr:colOff>
      <xdr:row>18</xdr:row>
      <xdr:rowOff>148556</xdr:rowOff>
    </xdr:from>
    <xdr:to>
      <xdr:col>22</xdr:col>
      <xdr:colOff>308643</xdr:colOff>
      <xdr:row>43</xdr:row>
      <xdr:rowOff>17929</xdr:rowOff>
    </xdr:to>
    <xdr:sp macro="" textlink="">
      <xdr:nvSpPr>
        <xdr:cNvPr id="17" name="Rectangle 16">
          <a:extLst>
            <a:ext uri="{FF2B5EF4-FFF2-40B4-BE49-F238E27FC236}">
              <a16:creationId xmlns:a16="http://schemas.microsoft.com/office/drawing/2014/main" id="{B0BDCCC4-CA57-4B2E-A2C1-CFD425C50E90}"/>
            </a:ext>
          </a:extLst>
        </xdr:cNvPr>
        <xdr:cNvSpPr/>
      </xdr:nvSpPr>
      <xdr:spPr>
        <a:xfrm>
          <a:off x="10976643" y="3375850"/>
          <a:ext cx="2743200" cy="4351726"/>
        </a:xfrm>
        <a:prstGeom prst="rect">
          <a:avLst/>
        </a:prstGeom>
        <a:solidFill>
          <a:schemeClr val="accent4">
            <a:lumMod val="75000"/>
          </a:schemeClr>
        </a:solidFill>
        <a:ln>
          <a:noFill/>
        </a:ln>
        <a:effectLst>
          <a:glow rad="63500">
            <a:schemeClr val="accent4">
              <a:lumMod val="20000"/>
              <a:lumOff val="80000"/>
              <a:alpha val="40000"/>
            </a:schemeClr>
          </a:glow>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18</xdr:col>
      <xdr:colOff>154321</xdr:colOff>
      <xdr:row>19</xdr:row>
      <xdr:rowOff>78151</xdr:rowOff>
    </xdr:from>
    <xdr:to>
      <xdr:col>22</xdr:col>
      <xdr:colOff>165206</xdr:colOff>
      <xdr:row>42</xdr:row>
      <xdr:rowOff>98612</xdr:rowOff>
    </xdr:to>
    <mc:AlternateContent xmlns:mc="http://schemas.openxmlformats.org/markup-compatibility/2006">
      <mc:Choice xmlns:a14="http://schemas.microsoft.com/office/drawing/2010/main" Requires="a14">
        <xdr:graphicFrame macro="">
          <xdr:nvGraphicFramePr>
            <xdr:cNvPr id="21" name="Department 1">
              <a:extLst>
                <a:ext uri="{FF2B5EF4-FFF2-40B4-BE49-F238E27FC236}">
                  <a16:creationId xmlns:a16="http://schemas.microsoft.com/office/drawing/2014/main" id="{68E2F91A-539D-4C7F-9997-52F266F27BAC}"/>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dr:sp macro="" textlink="">
          <xdr:nvSpPr>
            <xdr:cNvPr id="0" name=""/>
            <xdr:cNvSpPr>
              <a:spLocks noTextEdit="1"/>
            </xdr:cNvSpPr>
          </xdr:nvSpPr>
          <xdr:spPr>
            <a:xfrm>
              <a:off x="11127121" y="3500224"/>
              <a:ext cx="2449285" cy="41629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367552</xdr:colOff>
      <xdr:row>7</xdr:row>
      <xdr:rowOff>29583</xdr:rowOff>
    </xdr:from>
    <xdr:to>
      <xdr:col>4</xdr:col>
      <xdr:colOff>197223</xdr:colOff>
      <xdr:row>8</xdr:row>
      <xdr:rowOff>138440</xdr:rowOff>
    </xdr:to>
    <xdr:sp macro="" textlink="">
      <xdr:nvSpPr>
        <xdr:cNvPr id="22" name="TextBox 21">
          <a:extLst>
            <a:ext uri="{FF2B5EF4-FFF2-40B4-BE49-F238E27FC236}">
              <a16:creationId xmlns:a16="http://schemas.microsoft.com/office/drawing/2014/main" id="{AC47BDFA-1C4D-D8DF-4321-0733C2A6E484}"/>
            </a:ext>
          </a:extLst>
        </xdr:cNvPr>
        <xdr:cNvSpPr txBox="1"/>
      </xdr:nvSpPr>
      <xdr:spPr>
        <a:xfrm>
          <a:off x="977152" y="1284642"/>
          <a:ext cx="1658471" cy="288151"/>
        </a:xfrm>
        <a:prstGeom prst="rect">
          <a:avLst/>
        </a:prstGeom>
        <a:solidFill>
          <a:schemeClr val="accent4">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0" u="none" strike="noStrike">
              <a:solidFill>
                <a:schemeClr val="bg1"/>
              </a:solidFill>
              <a:effectLst/>
              <a:latin typeface="+mn-lt"/>
              <a:ea typeface="+mn-ea"/>
              <a:cs typeface="+mn-cs"/>
            </a:rPr>
            <a:t>    Total Employees</a:t>
          </a:r>
          <a:r>
            <a:rPr lang="en-IN" sz="1400" b="1">
              <a:solidFill>
                <a:schemeClr val="bg1"/>
              </a:solidFill>
              <a:effectLst/>
            </a:rPr>
            <a:t> </a:t>
          </a:r>
          <a:br>
            <a:rPr lang="en-IN">
              <a:effectLst/>
            </a:rPr>
          </a:br>
          <a:r>
            <a:rPr lang="en-IN">
              <a:effectLst/>
            </a:rPr>
            <a:t>                 </a:t>
          </a:r>
          <a:endParaRPr lang="en-IN" sz="1100"/>
        </a:p>
      </xdr:txBody>
    </xdr:sp>
    <xdr:clientData/>
  </xdr:twoCellAnchor>
  <xdr:twoCellAnchor editAs="oneCell">
    <xdr:from>
      <xdr:col>1</xdr:col>
      <xdr:colOff>245889</xdr:colOff>
      <xdr:row>8</xdr:row>
      <xdr:rowOff>138955</xdr:rowOff>
    </xdr:from>
    <xdr:to>
      <xdr:col>2</xdr:col>
      <xdr:colOff>493058</xdr:colOff>
      <xdr:row>12</xdr:row>
      <xdr:rowOff>44825</xdr:rowOff>
    </xdr:to>
    <xdr:pic>
      <xdr:nvPicPr>
        <xdr:cNvPr id="27" name="Graphic 26" descr="Users with solid fill">
          <a:extLst>
            <a:ext uri="{FF2B5EF4-FFF2-40B4-BE49-F238E27FC236}">
              <a16:creationId xmlns:a16="http://schemas.microsoft.com/office/drawing/2014/main" id="{B4CBF458-CCFB-F621-5E9C-F51537CAA06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55489" y="1573308"/>
          <a:ext cx="856769" cy="623046"/>
        </a:xfrm>
        <a:prstGeom prst="rect">
          <a:avLst/>
        </a:prstGeom>
        <a:effectLst>
          <a:glow rad="63500">
            <a:schemeClr val="accent4">
              <a:lumMod val="20000"/>
              <a:lumOff val="80000"/>
              <a:alpha val="40000"/>
            </a:schemeClr>
          </a:glow>
          <a:innerShdw blurRad="63500" dist="50800" dir="13500000">
            <a:schemeClr val="bg1">
              <a:alpha val="50000"/>
            </a:schemeClr>
          </a:innerShdw>
        </a:effectLst>
      </xdr:spPr>
    </xdr:pic>
    <xdr:clientData/>
  </xdr:twoCellAnchor>
  <xdr:twoCellAnchor>
    <xdr:from>
      <xdr:col>19</xdr:col>
      <xdr:colOff>336368</xdr:colOff>
      <xdr:row>1</xdr:row>
      <xdr:rowOff>160020</xdr:rowOff>
    </xdr:from>
    <xdr:to>
      <xdr:col>21</xdr:col>
      <xdr:colOff>250371</xdr:colOff>
      <xdr:row>3</xdr:row>
      <xdr:rowOff>163286</xdr:rowOff>
    </xdr:to>
    <xdr:sp macro="[0]!Refresh_All" textlink="">
      <xdr:nvSpPr>
        <xdr:cNvPr id="30" name="TextBox 29">
          <a:extLst>
            <a:ext uri="{FF2B5EF4-FFF2-40B4-BE49-F238E27FC236}">
              <a16:creationId xmlns:a16="http://schemas.microsoft.com/office/drawing/2014/main" id="{4FED2890-32C2-C6F4-C08F-3D835BEDE425}"/>
            </a:ext>
          </a:extLst>
        </xdr:cNvPr>
        <xdr:cNvSpPr txBox="1"/>
      </xdr:nvSpPr>
      <xdr:spPr>
        <a:xfrm>
          <a:off x="11918768" y="345077"/>
          <a:ext cx="1133203" cy="373380"/>
        </a:xfrm>
        <a:prstGeom prst="rect">
          <a:avLst/>
        </a:prstGeom>
        <a:solidFill>
          <a:schemeClr val="accent4">
            <a:lumMod val="60000"/>
            <a:lumOff val="40000"/>
          </a:schemeClr>
        </a:solidFill>
        <a:ln w="9525" cmpd="sng">
          <a:noFill/>
        </a:ln>
        <a:effectLst>
          <a:glow rad="63500">
            <a:schemeClr val="accent4">
              <a:lumMod val="20000"/>
              <a:lumOff val="80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solidFill>
                <a:schemeClr val="bg1"/>
              </a:solidFill>
              <a:latin typeface="Arial Black" panose="020B0A04020102020204" pitchFamily="34" charset="0"/>
            </a:rPr>
            <a:t>Refresh</a:t>
          </a:r>
        </a:p>
      </xdr:txBody>
    </xdr:sp>
    <xdr:clientData/>
  </xdr:twoCellAnchor>
  <xdr:twoCellAnchor>
    <xdr:from>
      <xdr:col>21</xdr:col>
      <xdr:colOff>444137</xdr:colOff>
      <xdr:row>1</xdr:row>
      <xdr:rowOff>163286</xdr:rowOff>
    </xdr:from>
    <xdr:to>
      <xdr:col>23</xdr:col>
      <xdr:colOff>195943</xdr:colOff>
      <xdr:row>3</xdr:row>
      <xdr:rowOff>141514</xdr:rowOff>
    </xdr:to>
    <xdr:sp macro="[0]!ToggleFullScreenDashboard" textlink="">
      <xdr:nvSpPr>
        <xdr:cNvPr id="35" name="TextBox 34">
          <a:extLst>
            <a:ext uri="{FF2B5EF4-FFF2-40B4-BE49-F238E27FC236}">
              <a16:creationId xmlns:a16="http://schemas.microsoft.com/office/drawing/2014/main" id="{E840ECE6-24D1-D49B-FD85-D873A46FF2E1}"/>
            </a:ext>
          </a:extLst>
        </xdr:cNvPr>
        <xdr:cNvSpPr txBox="1"/>
      </xdr:nvSpPr>
      <xdr:spPr>
        <a:xfrm>
          <a:off x="13245737" y="348343"/>
          <a:ext cx="971006" cy="348342"/>
        </a:xfrm>
        <a:prstGeom prst="rect">
          <a:avLst/>
        </a:prstGeom>
        <a:solidFill>
          <a:schemeClr val="accent4">
            <a:lumMod val="60000"/>
            <a:lumOff val="40000"/>
          </a:schemeClr>
        </a:solidFill>
        <a:ln w="9525" cmpd="sng">
          <a:noFill/>
        </a:ln>
        <a:effectLst>
          <a:glow rad="63500">
            <a:schemeClr val="accent4">
              <a:lumMod val="20000"/>
              <a:lumOff val="80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solidFill>
                <a:schemeClr val="bg1"/>
              </a:solidFill>
              <a:latin typeface="Arial Black" panose="020B0A04020102020204" pitchFamily="34" charset="0"/>
            </a:rPr>
            <a:t>Zoom In</a:t>
          </a:r>
        </a:p>
      </xdr:txBody>
    </xdr:sp>
    <xdr:clientData/>
  </xdr:twoCellAnchor>
  <xdr:twoCellAnchor editAs="oneCell">
    <xdr:from>
      <xdr:col>1</xdr:col>
      <xdr:colOff>178031</xdr:colOff>
      <xdr:row>0</xdr:row>
      <xdr:rowOff>62753</xdr:rowOff>
    </xdr:from>
    <xdr:to>
      <xdr:col>3</xdr:col>
      <xdr:colOff>429491</xdr:colOff>
      <xdr:row>5</xdr:row>
      <xdr:rowOff>83127</xdr:rowOff>
    </xdr:to>
    <xdr:pic>
      <xdr:nvPicPr>
        <xdr:cNvPr id="37" name="Graphic 36" descr="Business Growth with solid fill">
          <a:extLst>
            <a:ext uri="{FF2B5EF4-FFF2-40B4-BE49-F238E27FC236}">
              <a16:creationId xmlns:a16="http://schemas.microsoft.com/office/drawing/2014/main" id="{EC5960C2-EB3F-1BF7-9EA3-7963D015D99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87631" y="62753"/>
          <a:ext cx="1470660" cy="920919"/>
        </a:xfrm>
        <a:prstGeom prst="rect">
          <a:avLst/>
        </a:prstGeom>
      </xdr:spPr>
    </xdr:pic>
    <xdr:clientData/>
  </xdr:twoCellAnchor>
  <xdr:twoCellAnchor>
    <xdr:from>
      <xdr:col>8</xdr:col>
      <xdr:colOff>484094</xdr:colOff>
      <xdr:row>6</xdr:row>
      <xdr:rowOff>142281</xdr:rowOff>
    </xdr:from>
    <xdr:to>
      <xdr:col>12</xdr:col>
      <xdr:colOff>215152</xdr:colOff>
      <xdr:row>12</xdr:row>
      <xdr:rowOff>71719</xdr:rowOff>
    </xdr:to>
    <xdr:sp macro="" textlink="">
      <xdr:nvSpPr>
        <xdr:cNvPr id="8" name="Rectangle 7">
          <a:extLst>
            <a:ext uri="{FF2B5EF4-FFF2-40B4-BE49-F238E27FC236}">
              <a16:creationId xmlns:a16="http://schemas.microsoft.com/office/drawing/2014/main" id="{0A611BDF-C114-4357-A314-80427AAB89B1}"/>
            </a:ext>
          </a:extLst>
        </xdr:cNvPr>
        <xdr:cNvSpPr/>
      </xdr:nvSpPr>
      <xdr:spPr>
        <a:xfrm>
          <a:off x="5360894" y="1218046"/>
          <a:ext cx="2169458" cy="1005202"/>
        </a:xfrm>
        <a:prstGeom prst="rect">
          <a:avLst/>
        </a:prstGeom>
        <a:solidFill>
          <a:schemeClr val="accent4">
            <a:lumMod val="75000"/>
          </a:schemeClr>
        </a:solidFill>
        <a:ln>
          <a:solidFill>
            <a:srgbClr val="92D050"/>
          </a:solidFill>
        </a:ln>
        <a:effectLst>
          <a:glow rad="63500">
            <a:schemeClr val="accent4">
              <a:lumMod val="20000"/>
              <a:lumOff val="80000"/>
              <a:alpha val="40000"/>
            </a:schemeClr>
          </a:glow>
          <a:outerShdw blurRad="50800" dist="38100" dir="5400000" algn="t" rotWithShape="0">
            <a:schemeClr val="accent4">
              <a:lumMod val="20000"/>
              <a:lumOff val="80000"/>
              <a:alpha val="40000"/>
            </a:schemeClr>
          </a:outerShdw>
          <a:softEdge rad="508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466164</xdr:colOff>
      <xdr:row>6</xdr:row>
      <xdr:rowOff>170329</xdr:rowOff>
    </xdr:from>
    <xdr:to>
      <xdr:col>16</xdr:col>
      <xdr:colOff>206187</xdr:colOff>
      <xdr:row>12</xdr:row>
      <xdr:rowOff>80683</xdr:rowOff>
    </xdr:to>
    <xdr:sp macro="" textlink="">
      <xdr:nvSpPr>
        <xdr:cNvPr id="9" name="Rectangle 8">
          <a:extLst>
            <a:ext uri="{FF2B5EF4-FFF2-40B4-BE49-F238E27FC236}">
              <a16:creationId xmlns:a16="http://schemas.microsoft.com/office/drawing/2014/main" id="{022FE26C-1BA7-48C6-A4C9-D3C387885866}"/>
            </a:ext>
          </a:extLst>
        </xdr:cNvPr>
        <xdr:cNvSpPr/>
      </xdr:nvSpPr>
      <xdr:spPr>
        <a:xfrm>
          <a:off x="7781364" y="1246094"/>
          <a:ext cx="2178423" cy="986118"/>
        </a:xfrm>
        <a:prstGeom prst="rect">
          <a:avLst/>
        </a:prstGeom>
        <a:solidFill>
          <a:schemeClr val="accent4">
            <a:lumMod val="75000"/>
          </a:schemeClr>
        </a:solidFill>
        <a:ln>
          <a:solidFill>
            <a:srgbClr val="92D050"/>
          </a:solidFill>
        </a:ln>
        <a:effectLst>
          <a:glow rad="63500">
            <a:schemeClr val="accent4">
              <a:lumMod val="20000"/>
              <a:lumOff val="80000"/>
              <a:alpha val="40000"/>
            </a:schemeClr>
          </a:glow>
          <a:outerShdw blurRad="50800" dist="38100" dir="5400000" algn="t" rotWithShape="0">
            <a:schemeClr val="accent4">
              <a:lumMod val="20000"/>
              <a:lumOff val="80000"/>
              <a:alpha val="40000"/>
            </a:schemeClr>
          </a:outerShdw>
          <a:softEdge rad="508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591672</xdr:colOff>
      <xdr:row>7</xdr:row>
      <xdr:rowOff>24331</xdr:rowOff>
    </xdr:from>
    <xdr:to>
      <xdr:col>8</xdr:col>
      <xdr:colOff>188260</xdr:colOff>
      <xdr:row>8</xdr:row>
      <xdr:rowOff>133188</xdr:rowOff>
    </xdr:to>
    <xdr:sp macro="" textlink="">
      <xdr:nvSpPr>
        <xdr:cNvPr id="26" name="TextBox 25">
          <a:extLst>
            <a:ext uri="{FF2B5EF4-FFF2-40B4-BE49-F238E27FC236}">
              <a16:creationId xmlns:a16="http://schemas.microsoft.com/office/drawing/2014/main" id="{355DEF21-C1A5-4D9A-BAA9-20B3011D52C7}"/>
            </a:ext>
          </a:extLst>
        </xdr:cNvPr>
        <xdr:cNvSpPr txBox="1"/>
      </xdr:nvSpPr>
      <xdr:spPr>
        <a:xfrm>
          <a:off x="3030072" y="1279390"/>
          <a:ext cx="2034988" cy="288151"/>
        </a:xfrm>
        <a:prstGeom prst="rect">
          <a:avLst/>
        </a:prstGeom>
        <a:solidFill>
          <a:schemeClr val="accent4">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0" i="0" u="none" strike="noStrike">
              <a:solidFill>
                <a:schemeClr val="bg1"/>
              </a:solidFill>
              <a:effectLst/>
              <a:latin typeface="+mn-lt"/>
              <a:ea typeface="+mn-ea"/>
              <a:cs typeface="+mn-cs"/>
            </a:rPr>
            <a:t>    </a:t>
          </a:r>
          <a:r>
            <a:rPr lang="en-IN" sz="1400" b="1" i="0" u="none" strike="noStrike">
              <a:solidFill>
                <a:schemeClr val="bg1"/>
              </a:solidFill>
              <a:effectLst/>
              <a:latin typeface="+mn-lt"/>
              <a:ea typeface="+mn-ea"/>
              <a:cs typeface="+mn-cs"/>
            </a:rPr>
            <a:t>Total Tasks Completed</a:t>
          </a:r>
          <a:r>
            <a:rPr lang="en-IN" sz="1400" b="1">
              <a:solidFill>
                <a:schemeClr val="bg1"/>
              </a:solidFill>
              <a:effectLst/>
            </a:rPr>
            <a:t> </a:t>
          </a:r>
          <a:br>
            <a:rPr lang="en-IN">
              <a:effectLst/>
            </a:rPr>
          </a:br>
          <a:r>
            <a:rPr lang="en-IN">
              <a:effectLst/>
            </a:rPr>
            <a:t>                 </a:t>
          </a:r>
          <a:endParaRPr lang="en-IN" sz="1100"/>
        </a:p>
      </xdr:txBody>
    </xdr:sp>
    <xdr:clientData/>
  </xdr:twoCellAnchor>
  <xdr:twoCellAnchor>
    <xdr:from>
      <xdr:col>9</xdr:col>
      <xdr:colOff>469365</xdr:colOff>
      <xdr:row>7</xdr:row>
      <xdr:rowOff>51353</xdr:rowOff>
    </xdr:from>
    <xdr:to>
      <xdr:col>12</xdr:col>
      <xdr:colOff>152400</xdr:colOff>
      <xdr:row>8</xdr:row>
      <xdr:rowOff>160210</xdr:rowOff>
    </xdr:to>
    <xdr:sp macro="" textlink="">
      <xdr:nvSpPr>
        <xdr:cNvPr id="28" name="TextBox 27">
          <a:extLst>
            <a:ext uri="{FF2B5EF4-FFF2-40B4-BE49-F238E27FC236}">
              <a16:creationId xmlns:a16="http://schemas.microsoft.com/office/drawing/2014/main" id="{1E5499BB-B02B-4096-87C8-095B08D8CBD8}"/>
            </a:ext>
          </a:extLst>
        </xdr:cNvPr>
        <xdr:cNvSpPr txBox="1"/>
      </xdr:nvSpPr>
      <xdr:spPr>
        <a:xfrm>
          <a:off x="5955765" y="1306412"/>
          <a:ext cx="1511835" cy="288151"/>
        </a:xfrm>
        <a:prstGeom prst="rect">
          <a:avLst/>
        </a:prstGeom>
        <a:solidFill>
          <a:schemeClr val="accent4">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0" u="none" strike="noStrike">
              <a:solidFill>
                <a:schemeClr val="bg1"/>
              </a:solidFill>
              <a:effectLst/>
              <a:latin typeface="+mn-lt"/>
              <a:ea typeface="+mn-ea"/>
              <a:cs typeface="+mn-cs"/>
            </a:rPr>
            <a:t>    Average Errors</a:t>
          </a:r>
          <a:r>
            <a:rPr lang="en-IN" sz="1400" b="1">
              <a:solidFill>
                <a:schemeClr val="bg1"/>
              </a:solidFill>
              <a:effectLst/>
            </a:rPr>
            <a:t> </a:t>
          </a:r>
          <a:br>
            <a:rPr lang="en-IN">
              <a:effectLst/>
            </a:rPr>
          </a:br>
          <a:r>
            <a:rPr lang="en-IN">
              <a:effectLst/>
            </a:rPr>
            <a:t>                 </a:t>
          </a:r>
          <a:endParaRPr lang="en-IN" sz="1100"/>
        </a:p>
      </xdr:txBody>
    </xdr:sp>
    <xdr:clientData/>
  </xdr:twoCellAnchor>
  <xdr:twoCellAnchor>
    <xdr:from>
      <xdr:col>12</xdr:col>
      <xdr:colOff>528917</xdr:colOff>
      <xdr:row>7</xdr:row>
      <xdr:rowOff>46102</xdr:rowOff>
    </xdr:from>
    <xdr:to>
      <xdr:col>16</xdr:col>
      <xdr:colOff>161364</xdr:colOff>
      <xdr:row>8</xdr:row>
      <xdr:rowOff>154959</xdr:rowOff>
    </xdr:to>
    <xdr:sp macro="" textlink="">
      <xdr:nvSpPr>
        <xdr:cNvPr id="29" name="TextBox 28">
          <a:extLst>
            <a:ext uri="{FF2B5EF4-FFF2-40B4-BE49-F238E27FC236}">
              <a16:creationId xmlns:a16="http://schemas.microsoft.com/office/drawing/2014/main" id="{84DB7E90-A763-469B-BD72-B14923BA1AEE}"/>
            </a:ext>
          </a:extLst>
        </xdr:cNvPr>
        <xdr:cNvSpPr txBox="1"/>
      </xdr:nvSpPr>
      <xdr:spPr>
        <a:xfrm>
          <a:off x="7844117" y="1301161"/>
          <a:ext cx="2070847" cy="288151"/>
        </a:xfrm>
        <a:prstGeom prst="rect">
          <a:avLst/>
        </a:prstGeom>
        <a:solidFill>
          <a:schemeClr val="accent4">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i="0" u="none" strike="noStrike">
              <a:solidFill>
                <a:schemeClr val="bg1"/>
              </a:solidFill>
              <a:effectLst/>
              <a:latin typeface="+mn-lt"/>
              <a:ea typeface="+mn-ea"/>
              <a:cs typeface="+mn-cs"/>
            </a:rPr>
            <a:t>    Average Hours Worked</a:t>
          </a:r>
          <a:r>
            <a:rPr lang="en-IN" sz="1400" b="1">
              <a:solidFill>
                <a:schemeClr val="bg1"/>
              </a:solidFill>
              <a:effectLst/>
            </a:rPr>
            <a:t> </a:t>
          </a:r>
          <a:br>
            <a:rPr lang="en-IN">
              <a:effectLst/>
            </a:rPr>
          </a:br>
          <a:r>
            <a:rPr lang="en-IN">
              <a:effectLst/>
            </a:rPr>
            <a:t>                 </a:t>
          </a:r>
          <a:endParaRPr lang="en-IN" sz="1100"/>
        </a:p>
      </xdr:txBody>
    </xdr:sp>
    <xdr:clientData/>
  </xdr:twoCellAnchor>
  <xdr:twoCellAnchor>
    <xdr:from>
      <xdr:col>1</xdr:col>
      <xdr:colOff>150476</xdr:colOff>
      <xdr:row>13</xdr:row>
      <xdr:rowOff>80683</xdr:rowOff>
    </xdr:from>
    <xdr:to>
      <xdr:col>8</xdr:col>
      <xdr:colOff>555812</xdr:colOff>
      <xdr:row>26</xdr:row>
      <xdr:rowOff>17418</xdr:rowOff>
    </xdr:to>
    <xdr:sp macro="" textlink="">
      <xdr:nvSpPr>
        <xdr:cNvPr id="31" name="Rectangle 30">
          <a:extLst>
            <a:ext uri="{FF2B5EF4-FFF2-40B4-BE49-F238E27FC236}">
              <a16:creationId xmlns:a16="http://schemas.microsoft.com/office/drawing/2014/main" id="{4DCF7494-9257-40C3-A9A0-E1F35FEE4E21}"/>
            </a:ext>
          </a:extLst>
        </xdr:cNvPr>
        <xdr:cNvSpPr/>
      </xdr:nvSpPr>
      <xdr:spPr>
        <a:xfrm>
          <a:off x="760076" y="2411507"/>
          <a:ext cx="4672536" cy="2267558"/>
        </a:xfrm>
        <a:prstGeom prst="rect">
          <a:avLst/>
        </a:prstGeom>
        <a:solidFill>
          <a:schemeClr val="accent4">
            <a:lumMod val="75000"/>
          </a:schemeClr>
        </a:solidFill>
        <a:ln>
          <a:noFill/>
        </a:ln>
        <a:effectLst>
          <a:glow rad="63500">
            <a:schemeClr val="accent4">
              <a:lumMod val="20000"/>
              <a:lumOff val="80000"/>
              <a:alpha val="40000"/>
            </a:schemeClr>
          </a:glow>
          <a:outerShdw blurRad="50800" dist="38100" dir="5400000" algn="t" rotWithShape="0">
            <a:schemeClr val="accent4">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62753</xdr:colOff>
      <xdr:row>13</xdr:row>
      <xdr:rowOff>107576</xdr:rowOff>
    </xdr:from>
    <xdr:to>
      <xdr:col>16</xdr:col>
      <xdr:colOff>361789</xdr:colOff>
      <xdr:row>26</xdr:row>
      <xdr:rowOff>27022</xdr:rowOff>
    </xdr:to>
    <xdr:sp macro="" textlink="">
      <xdr:nvSpPr>
        <xdr:cNvPr id="32" name="Rectangle 31">
          <a:extLst>
            <a:ext uri="{FF2B5EF4-FFF2-40B4-BE49-F238E27FC236}">
              <a16:creationId xmlns:a16="http://schemas.microsoft.com/office/drawing/2014/main" id="{4104D8AF-059C-4459-8666-5F3AD6B912D3}"/>
            </a:ext>
          </a:extLst>
        </xdr:cNvPr>
        <xdr:cNvSpPr/>
      </xdr:nvSpPr>
      <xdr:spPr>
        <a:xfrm>
          <a:off x="5549153" y="2438400"/>
          <a:ext cx="4566236" cy="2250269"/>
        </a:xfrm>
        <a:prstGeom prst="rect">
          <a:avLst/>
        </a:prstGeom>
        <a:solidFill>
          <a:schemeClr val="accent4">
            <a:lumMod val="75000"/>
          </a:schemeClr>
        </a:solidFill>
        <a:ln>
          <a:noFill/>
        </a:ln>
        <a:effectLst>
          <a:glow rad="63500">
            <a:schemeClr val="accent4">
              <a:lumMod val="20000"/>
              <a:lumOff val="80000"/>
              <a:alpha val="40000"/>
            </a:schemeClr>
          </a:glow>
          <a:outerShdw blurRad="50800" dist="38100" dir="5400000" algn="t" rotWithShape="0">
            <a:schemeClr val="accent4">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145995</xdr:colOff>
      <xdr:row>26</xdr:row>
      <xdr:rowOff>178011</xdr:rowOff>
    </xdr:from>
    <xdr:to>
      <xdr:col>6</xdr:col>
      <xdr:colOff>152400</xdr:colOff>
      <xdr:row>43</xdr:row>
      <xdr:rowOff>62752</xdr:rowOff>
    </xdr:to>
    <xdr:sp macro="" textlink="">
      <xdr:nvSpPr>
        <xdr:cNvPr id="33" name="Rectangle 32">
          <a:extLst>
            <a:ext uri="{FF2B5EF4-FFF2-40B4-BE49-F238E27FC236}">
              <a16:creationId xmlns:a16="http://schemas.microsoft.com/office/drawing/2014/main" id="{FEEF0E33-5BB6-4D72-87CB-E1481641B574}"/>
            </a:ext>
          </a:extLst>
        </xdr:cNvPr>
        <xdr:cNvSpPr/>
      </xdr:nvSpPr>
      <xdr:spPr>
        <a:xfrm>
          <a:off x="755595" y="4839658"/>
          <a:ext cx="3054405" cy="2932741"/>
        </a:xfrm>
        <a:prstGeom prst="rect">
          <a:avLst/>
        </a:prstGeom>
        <a:solidFill>
          <a:schemeClr val="accent4">
            <a:lumMod val="75000"/>
          </a:schemeClr>
        </a:solidFill>
        <a:ln>
          <a:noFill/>
        </a:ln>
        <a:effectLst>
          <a:glow rad="63500">
            <a:schemeClr val="accent4">
              <a:lumMod val="20000"/>
              <a:lumOff val="80000"/>
              <a:alpha val="40000"/>
            </a:schemeClr>
          </a:glow>
          <a:outerShdw blurRad="50800" dist="38100" dir="5400000" algn="t" rotWithShape="0">
            <a:schemeClr val="accent4">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268941</xdr:colOff>
      <xdr:row>27</xdr:row>
      <xdr:rowOff>7684</xdr:rowOff>
    </xdr:from>
    <xdr:to>
      <xdr:col>11</xdr:col>
      <xdr:colOff>242048</xdr:colOff>
      <xdr:row>43</xdr:row>
      <xdr:rowOff>71719</xdr:rowOff>
    </xdr:to>
    <xdr:sp macro="" textlink="">
      <xdr:nvSpPr>
        <xdr:cNvPr id="34" name="Rectangle 33">
          <a:extLst>
            <a:ext uri="{FF2B5EF4-FFF2-40B4-BE49-F238E27FC236}">
              <a16:creationId xmlns:a16="http://schemas.microsoft.com/office/drawing/2014/main" id="{624D0DB3-CCEC-4BC8-A138-5838BC041A60}"/>
            </a:ext>
          </a:extLst>
        </xdr:cNvPr>
        <xdr:cNvSpPr/>
      </xdr:nvSpPr>
      <xdr:spPr>
        <a:xfrm>
          <a:off x="3926541" y="4848625"/>
          <a:ext cx="3021107" cy="2932741"/>
        </a:xfrm>
        <a:prstGeom prst="rect">
          <a:avLst/>
        </a:prstGeom>
        <a:solidFill>
          <a:schemeClr val="accent4">
            <a:lumMod val="75000"/>
          </a:schemeClr>
        </a:solidFill>
        <a:ln>
          <a:noFill/>
        </a:ln>
        <a:effectLst>
          <a:glow rad="63500">
            <a:schemeClr val="accent4">
              <a:lumMod val="20000"/>
              <a:lumOff val="80000"/>
              <a:alpha val="40000"/>
            </a:schemeClr>
          </a:glow>
          <a:outerShdw blurRad="50800" dist="38100" dir="5400000" algn="t" rotWithShape="0">
            <a:schemeClr val="accent4">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340659</xdr:colOff>
      <xdr:row>27</xdr:row>
      <xdr:rowOff>7684</xdr:rowOff>
    </xdr:from>
    <xdr:to>
      <xdr:col>16</xdr:col>
      <xdr:colOff>376519</xdr:colOff>
      <xdr:row>43</xdr:row>
      <xdr:rowOff>71719</xdr:rowOff>
    </xdr:to>
    <xdr:sp macro="" textlink="">
      <xdr:nvSpPr>
        <xdr:cNvPr id="36" name="Rectangle 35">
          <a:extLst>
            <a:ext uri="{FF2B5EF4-FFF2-40B4-BE49-F238E27FC236}">
              <a16:creationId xmlns:a16="http://schemas.microsoft.com/office/drawing/2014/main" id="{439AAE0E-2D4E-4AAD-8BD3-DC785DC9F2D3}"/>
            </a:ext>
          </a:extLst>
        </xdr:cNvPr>
        <xdr:cNvSpPr/>
      </xdr:nvSpPr>
      <xdr:spPr>
        <a:xfrm>
          <a:off x="7046259" y="4848625"/>
          <a:ext cx="3083860" cy="2932741"/>
        </a:xfrm>
        <a:prstGeom prst="rect">
          <a:avLst/>
        </a:prstGeom>
        <a:solidFill>
          <a:schemeClr val="accent4">
            <a:lumMod val="75000"/>
          </a:schemeClr>
        </a:solidFill>
        <a:ln>
          <a:noFill/>
        </a:ln>
        <a:effectLst>
          <a:glow rad="63500">
            <a:schemeClr val="accent4">
              <a:lumMod val="20000"/>
              <a:lumOff val="80000"/>
              <a:alpha val="40000"/>
            </a:schemeClr>
          </a:glow>
          <a:outerShdw blurRad="50800" dist="38100" dir="5400000" algn="t" rotWithShape="0">
            <a:schemeClr val="accent4">
              <a:lumMod val="20000"/>
              <a:lumOff val="80000"/>
              <a:alpha val="40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134471</xdr:colOff>
      <xdr:row>9</xdr:row>
      <xdr:rowOff>71718</xdr:rowOff>
    </xdr:from>
    <xdr:to>
      <xdr:col>4</xdr:col>
      <xdr:colOff>143435</xdr:colOff>
      <xdr:row>11</xdr:row>
      <xdr:rowOff>26894</xdr:rowOff>
    </xdr:to>
    <xdr:sp macro="" textlink="Pivot!A7">
      <xdr:nvSpPr>
        <xdr:cNvPr id="38" name="TextBox 37">
          <a:extLst>
            <a:ext uri="{FF2B5EF4-FFF2-40B4-BE49-F238E27FC236}">
              <a16:creationId xmlns:a16="http://schemas.microsoft.com/office/drawing/2014/main" id="{98CBCB1E-0BF6-E199-D84D-F9FF341C4C2F}"/>
            </a:ext>
          </a:extLst>
        </xdr:cNvPr>
        <xdr:cNvSpPr txBox="1"/>
      </xdr:nvSpPr>
      <xdr:spPr>
        <a:xfrm>
          <a:off x="1963271" y="1685365"/>
          <a:ext cx="618564" cy="313764"/>
        </a:xfrm>
        <a:prstGeom prst="rect">
          <a:avLst/>
        </a:prstGeom>
        <a:solidFill>
          <a:schemeClr val="accent4">
            <a:lumMod val="75000"/>
          </a:schemeClr>
        </a:solidFill>
        <a:ln>
          <a:no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fld id="{B57666BB-BA7F-4F4C-A235-B550A413D33D}" type="TxLink">
            <a:rPr lang="en-US" sz="1400" b="1" i="0" u="none" strike="noStrike">
              <a:solidFill>
                <a:srgbClr val="FFFFFF"/>
              </a:solidFill>
              <a:latin typeface="Calibri"/>
              <a:ea typeface="Calibri"/>
              <a:cs typeface="Calibri"/>
            </a:rPr>
            <a:t>100</a:t>
          </a:fld>
          <a:endParaRPr lang="en-US" sz="1800" b="1">
            <a:solidFill>
              <a:schemeClr val="bg1"/>
            </a:solidFill>
          </a:endParaRPr>
        </a:p>
      </xdr:txBody>
    </xdr:sp>
    <xdr:clientData/>
  </xdr:twoCellAnchor>
  <xdr:twoCellAnchor>
    <xdr:from>
      <xdr:col>6</xdr:col>
      <xdr:colOff>520721</xdr:colOff>
      <xdr:row>9</xdr:row>
      <xdr:rowOff>79401</xdr:rowOff>
    </xdr:from>
    <xdr:to>
      <xdr:col>7</xdr:col>
      <xdr:colOff>555812</xdr:colOff>
      <xdr:row>11</xdr:row>
      <xdr:rowOff>62753</xdr:rowOff>
    </xdr:to>
    <xdr:sp macro="" textlink="Pivot!C7">
      <xdr:nvSpPr>
        <xdr:cNvPr id="39" name="TextBox 38">
          <a:extLst>
            <a:ext uri="{FF2B5EF4-FFF2-40B4-BE49-F238E27FC236}">
              <a16:creationId xmlns:a16="http://schemas.microsoft.com/office/drawing/2014/main" id="{BEDBDF24-250A-4D8C-A99C-BD3910CFF58B}"/>
            </a:ext>
          </a:extLst>
        </xdr:cNvPr>
        <xdr:cNvSpPr txBox="1"/>
      </xdr:nvSpPr>
      <xdr:spPr>
        <a:xfrm>
          <a:off x="4178321" y="1693048"/>
          <a:ext cx="644691" cy="341940"/>
        </a:xfrm>
        <a:prstGeom prst="rect">
          <a:avLst/>
        </a:prstGeom>
        <a:solidFill>
          <a:schemeClr val="accent4">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A45D95E-268C-4622-BAF0-2EA12CB0AF28}" type="TxLink">
            <a:rPr lang="en-US" sz="1400" b="1" i="0" u="none" strike="noStrike">
              <a:solidFill>
                <a:srgbClr val="FFFFFF"/>
              </a:solidFill>
              <a:latin typeface="Calibri"/>
              <a:ea typeface="Calibri"/>
              <a:cs typeface="Calibri"/>
            </a:rPr>
            <a:t>10962</a:t>
          </a:fld>
          <a:endParaRPr lang="en-US" sz="1100"/>
        </a:p>
      </xdr:txBody>
    </xdr:sp>
    <xdr:clientData/>
  </xdr:twoCellAnchor>
  <xdr:twoCellAnchor>
    <xdr:from>
      <xdr:col>10</xdr:col>
      <xdr:colOff>564777</xdr:colOff>
      <xdr:row>9</xdr:row>
      <xdr:rowOff>70563</xdr:rowOff>
    </xdr:from>
    <xdr:to>
      <xdr:col>12</xdr:col>
      <xdr:colOff>8964</xdr:colOff>
      <xdr:row>11</xdr:row>
      <xdr:rowOff>44824</xdr:rowOff>
    </xdr:to>
    <xdr:sp macro="" textlink="Pivot!F7">
      <xdr:nvSpPr>
        <xdr:cNvPr id="40" name="TextBox 39">
          <a:extLst>
            <a:ext uri="{FF2B5EF4-FFF2-40B4-BE49-F238E27FC236}">
              <a16:creationId xmlns:a16="http://schemas.microsoft.com/office/drawing/2014/main" id="{1251CF11-F1AB-4CE9-8E07-1EC056E9AF0E}"/>
            </a:ext>
          </a:extLst>
        </xdr:cNvPr>
        <xdr:cNvSpPr txBox="1"/>
      </xdr:nvSpPr>
      <xdr:spPr>
        <a:xfrm>
          <a:off x="6660777" y="1684210"/>
          <a:ext cx="663387" cy="332849"/>
        </a:xfrm>
        <a:prstGeom prst="rect">
          <a:avLst/>
        </a:prstGeom>
        <a:solidFill>
          <a:schemeClr val="accent4">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8436FE-D275-47D8-AB64-CD16665D85B1}" type="TxLink">
            <a:rPr lang="en-US" sz="1400" b="1" i="0" u="none" strike="noStrike">
              <a:solidFill>
                <a:srgbClr val="FFFFFF"/>
              </a:solidFill>
              <a:latin typeface="Calibri"/>
              <a:ea typeface="Calibri"/>
              <a:cs typeface="Calibri"/>
            </a:rPr>
            <a:t>11</a:t>
          </a:fld>
          <a:endParaRPr lang="en-US" sz="1100"/>
        </a:p>
      </xdr:txBody>
    </xdr:sp>
    <xdr:clientData/>
  </xdr:twoCellAnchor>
  <xdr:twoCellAnchor>
    <xdr:from>
      <xdr:col>14</xdr:col>
      <xdr:colOff>430306</xdr:colOff>
      <xdr:row>9</xdr:row>
      <xdr:rowOff>53788</xdr:rowOff>
    </xdr:from>
    <xdr:to>
      <xdr:col>16</xdr:col>
      <xdr:colOff>53789</xdr:colOff>
      <xdr:row>11</xdr:row>
      <xdr:rowOff>35859</xdr:rowOff>
    </xdr:to>
    <xdr:sp macro="" textlink="Pivot!I7">
      <xdr:nvSpPr>
        <xdr:cNvPr id="41" name="TextBox 40">
          <a:extLst>
            <a:ext uri="{FF2B5EF4-FFF2-40B4-BE49-F238E27FC236}">
              <a16:creationId xmlns:a16="http://schemas.microsoft.com/office/drawing/2014/main" id="{B3DA6E4F-42BC-4241-8D76-128652B18EC4}"/>
            </a:ext>
          </a:extLst>
        </xdr:cNvPr>
        <xdr:cNvSpPr txBox="1"/>
      </xdr:nvSpPr>
      <xdr:spPr>
        <a:xfrm>
          <a:off x="8964706" y="1667435"/>
          <a:ext cx="842683" cy="340659"/>
        </a:xfrm>
        <a:prstGeom prst="rect">
          <a:avLst/>
        </a:prstGeom>
        <a:solidFill>
          <a:schemeClr val="accent4">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FB64169-F9FB-44BD-9602-396A0A54BBD4}" type="TxLink">
            <a:rPr lang="en-US" sz="1400" b="1" i="0" u="none" strike="noStrike">
              <a:solidFill>
                <a:srgbClr val="FFFFFF"/>
              </a:solidFill>
              <a:latin typeface="Calibri"/>
              <a:ea typeface="Calibri"/>
              <a:cs typeface="Calibri"/>
            </a:rPr>
            <a:t>166</a:t>
          </a:fld>
          <a:endParaRPr lang="en-US" sz="1100"/>
        </a:p>
      </xdr:txBody>
    </xdr:sp>
    <xdr:clientData/>
  </xdr:twoCellAnchor>
  <xdr:twoCellAnchor>
    <xdr:from>
      <xdr:col>1</xdr:col>
      <xdr:colOff>528918</xdr:colOff>
      <xdr:row>13</xdr:row>
      <xdr:rowOff>107575</xdr:rowOff>
    </xdr:from>
    <xdr:to>
      <xdr:col>8</xdr:col>
      <xdr:colOff>277906</xdr:colOff>
      <xdr:row>15</xdr:row>
      <xdr:rowOff>62752</xdr:rowOff>
    </xdr:to>
    <xdr:sp macro="" textlink="">
      <xdr:nvSpPr>
        <xdr:cNvPr id="42" name="TextBox 41">
          <a:extLst>
            <a:ext uri="{FF2B5EF4-FFF2-40B4-BE49-F238E27FC236}">
              <a16:creationId xmlns:a16="http://schemas.microsoft.com/office/drawing/2014/main" id="{7FF9B013-D0BE-8AF2-DAFD-15F06C78282C}"/>
            </a:ext>
          </a:extLst>
        </xdr:cNvPr>
        <xdr:cNvSpPr txBox="1"/>
      </xdr:nvSpPr>
      <xdr:spPr>
        <a:xfrm>
          <a:off x="1138518" y="2438399"/>
          <a:ext cx="4016188" cy="313765"/>
        </a:xfrm>
        <a:prstGeom prst="rect">
          <a:avLst/>
        </a:prstGeom>
        <a:solidFill>
          <a:schemeClr val="accent4">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i="0" u="none" strike="noStrike">
              <a:solidFill>
                <a:schemeClr val="bg1"/>
              </a:solidFill>
              <a:effectLst/>
              <a:latin typeface="+mn-lt"/>
              <a:ea typeface="+mn-ea"/>
              <a:cs typeface="+mn-cs"/>
            </a:rPr>
            <a:t>Department Wise Errors Rate</a:t>
          </a:r>
          <a:r>
            <a:rPr lang="en-IN" sz="1200" b="1">
              <a:solidFill>
                <a:schemeClr val="bg1"/>
              </a:solidFill>
              <a:effectLst/>
            </a:rPr>
            <a:t> </a:t>
          </a:r>
          <a:endParaRPr lang="en-IN" sz="1200" b="1">
            <a:solidFill>
              <a:schemeClr val="bg1"/>
            </a:solidFill>
          </a:endParaRPr>
        </a:p>
      </xdr:txBody>
    </xdr:sp>
    <xdr:clientData/>
  </xdr:twoCellAnchor>
  <xdr:twoCellAnchor>
    <xdr:from>
      <xdr:col>9</xdr:col>
      <xdr:colOff>430306</xdr:colOff>
      <xdr:row>13</xdr:row>
      <xdr:rowOff>125505</xdr:rowOff>
    </xdr:from>
    <xdr:to>
      <xdr:col>16</xdr:col>
      <xdr:colOff>17929</xdr:colOff>
      <xdr:row>15</xdr:row>
      <xdr:rowOff>26894</xdr:rowOff>
    </xdr:to>
    <xdr:sp macro="" textlink="">
      <xdr:nvSpPr>
        <xdr:cNvPr id="43" name="TextBox 42">
          <a:extLst>
            <a:ext uri="{FF2B5EF4-FFF2-40B4-BE49-F238E27FC236}">
              <a16:creationId xmlns:a16="http://schemas.microsoft.com/office/drawing/2014/main" id="{31A2A1DF-BB33-EC4C-4C80-2BA4DD8C1DB5}"/>
            </a:ext>
          </a:extLst>
        </xdr:cNvPr>
        <xdr:cNvSpPr txBox="1"/>
      </xdr:nvSpPr>
      <xdr:spPr>
        <a:xfrm>
          <a:off x="5916706" y="2456329"/>
          <a:ext cx="3854823" cy="259977"/>
        </a:xfrm>
        <a:prstGeom prst="rect">
          <a:avLst/>
        </a:prstGeom>
        <a:solidFill>
          <a:schemeClr val="accent4">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i="0" u="none" strike="noStrike">
              <a:solidFill>
                <a:schemeClr val="bg1"/>
              </a:solidFill>
              <a:effectLst/>
              <a:latin typeface="+mn-lt"/>
              <a:ea typeface="+mn-ea"/>
              <a:cs typeface="+mn-cs"/>
            </a:rPr>
            <a:t>Task completed Vs Errors Made</a:t>
          </a:r>
          <a:r>
            <a:rPr lang="en-IN" sz="1200" b="1">
              <a:solidFill>
                <a:schemeClr val="bg1"/>
              </a:solidFill>
              <a:effectLst/>
            </a:rPr>
            <a:t> </a:t>
          </a:r>
          <a:endParaRPr lang="en-IN" sz="1200" b="1">
            <a:solidFill>
              <a:schemeClr val="bg1"/>
            </a:solidFill>
          </a:endParaRPr>
        </a:p>
      </xdr:txBody>
    </xdr:sp>
    <xdr:clientData/>
  </xdr:twoCellAnchor>
  <xdr:twoCellAnchor>
    <xdr:from>
      <xdr:col>2</xdr:col>
      <xdr:colOff>26895</xdr:colOff>
      <xdr:row>27</xdr:row>
      <xdr:rowOff>107577</xdr:rowOff>
    </xdr:from>
    <xdr:to>
      <xdr:col>6</xdr:col>
      <xdr:colOff>17930</xdr:colOff>
      <xdr:row>29</xdr:row>
      <xdr:rowOff>62754</xdr:rowOff>
    </xdr:to>
    <xdr:sp macro="" textlink="">
      <xdr:nvSpPr>
        <xdr:cNvPr id="44" name="TextBox 43">
          <a:extLst>
            <a:ext uri="{FF2B5EF4-FFF2-40B4-BE49-F238E27FC236}">
              <a16:creationId xmlns:a16="http://schemas.microsoft.com/office/drawing/2014/main" id="{D86DD88D-669C-9458-05BC-F2A52E03B32C}"/>
            </a:ext>
          </a:extLst>
        </xdr:cNvPr>
        <xdr:cNvSpPr txBox="1"/>
      </xdr:nvSpPr>
      <xdr:spPr>
        <a:xfrm>
          <a:off x="1246095" y="4948518"/>
          <a:ext cx="2429435" cy="313765"/>
        </a:xfrm>
        <a:prstGeom prst="rect">
          <a:avLst/>
        </a:prstGeom>
        <a:solidFill>
          <a:schemeClr val="accent4">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IN" sz="1400" b="1" i="0">
              <a:solidFill>
                <a:schemeClr val="bg1"/>
              </a:solidFill>
              <a:effectLst/>
              <a:latin typeface="+mn-lt"/>
              <a:ea typeface="+mn-ea"/>
              <a:cs typeface="+mn-cs"/>
            </a:rPr>
            <a:t>Performance Distribution</a:t>
          </a:r>
          <a:r>
            <a:rPr lang="en-IN" sz="1400">
              <a:solidFill>
                <a:schemeClr val="bg1"/>
              </a:solidFill>
              <a:effectLst/>
              <a:latin typeface="+mn-lt"/>
              <a:ea typeface="+mn-ea"/>
              <a:cs typeface="+mn-cs"/>
            </a:rPr>
            <a:t> </a:t>
          </a:r>
          <a:endParaRPr lang="en-IN" sz="1400">
            <a:solidFill>
              <a:schemeClr val="bg1"/>
            </a:solidFill>
            <a:effectLst/>
          </a:endParaRPr>
        </a:p>
        <a:p>
          <a:endParaRPr lang="en-IN" sz="1100"/>
        </a:p>
      </xdr:txBody>
    </xdr:sp>
    <xdr:clientData/>
  </xdr:twoCellAnchor>
  <xdr:twoCellAnchor>
    <xdr:from>
      <xdr:col>6</xdr:col>
      <xdr:colOff>340658</xdr:colOff>
      <xdr:row>27</xdr:row>
      <xdr:rowOff>80681</xdr:rowOff>
    </xdr:from>
    <xdr:to>
      <xdr:col>11</xdr:col>
      <xdr:colOff>224117</xdr:colOff>
      <xdr:row>29</xdr:row>
      <xdr:rowOff>26893</xdr:rowOff>
    </xdr:to>
    <xdr:sp macro="" textlink="">
      <xdr:nvSpPr>
        <xdr:cNvPr id="45" name="TextBox 44">
          <a:extLst>
            <a:ext uri="{FF2B5EF4-FFF2-40B4-BE49-F238E27FC236}">
              <a16:creationId xmlns:a16="http://schemas.microsoft.com/office/drawing/2014/main" id="{14E200E0-CFA9-CF70-0C54-3598E83A2C24}"/>
            </a:ext>
          </a:extLst>
        </xdr:cNvPr>
        <xdr:cNvSpPr txBox="1"/>
      </xdr:nvSpPr>
      <xdr:spPr>
        <a:xfrm>
          <a:off x="3998258" y="4921622"/>
          <a:ext cx="2931459" cy="304800"/>
        </a:xfrm>
        <a:prstGeom prst="rect">
          <a:avLst/>
        </a:prstGeom>
        <a:solidFill>
          <a:schemeClr val="accent4">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300" b="1" i="0" u="none" strike="noStrike">
              <a:solidFill>
                <a:schemeClr val="bg1"/>
              </a:solidFill>
              <a:effectLst/>
              <a:latin typeface="+mn-lt"/>
              <a:ea typeface="+mn-ea"/>
              <a:cs typeface="+mn-cs"/>
            </a:rPr>
            <a:t>Department Wise Performance Rating</a:t>
          </a:r>
          <a:r>
            <a:rPr lang="en-IN" sz="1300">
              <a:solidFill>
                <a:schemeClr val="bg1"/>
              </a:solidFill>
              <a:effectLst/>
            </a:rPr>
            <a:t> </a:t>
          </a:r>
          <a:endParaRPr lang="en-IN" sz="1300">
            <a:solidFill>
              <a:schemeClr val="bg1"/>
            </a:solidFill>
          </a:endParaRPr>
        </a:p>
      </xdr:txBody>
    </xdr:sp>
    <xdr:clientData/>
  </xdr:twoCellAnchor>
  <xdr:twoCellAnchor>
    <xdr:from>
      <xdr:col>12</xdr:col>
      <xdr:colOff>0</xdr:colOff>
      <xdr:row>27</xdr:row>
      <xdr:rowOff>125506</xdr:rowOff>
    </xdr:from>
    <xdr:to>
      <xdr:col>16</xdr:col>
      <xdr:colOff>125506</xdr:colOff>
      <xdr:row>29</xdr:row>
      <xdr:rowOff>26895</xdr:rowOff>
    </xdr:to>
    <xdr:sp macro="" textlink="">
      <xdr:nvSpPr>
        <xdr:cNvPr id="46" name="TextBox 45">
          <a:extLst>
            <a:ext uri="{FF2B5EF4-FFF2-40B4-BE49-F238E27FC236}">
              <a16:creationId xmlns:a16="http://schemas.microsoft.com/office/drawing/2014/main" id="{877F68F4-D305-DA83-7A70-624CB97AFC8A}"/>
            </a:ext>
          </a:extLst>
        </xdr:cNvPr>
        <xdr:cNvSpPr txBox="1"/>
      </xdr:nvSpPr>
      <xdr:spPr>
        <a:xfrm>
          <a:off x="7315200" y="4966447"/>
          <a:ext cx="2563906" cy="259977"/>
        </a:xfrm>
        <a:prstGeom prst="rect">
          <a:avLst/>
        </a:prstGeom>
        <a:solidFill>
          <a:schemeClr val="accent4">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i="0" u="none" strike="noStrike">
              <a:solidFill>
                <a:schemeClr val="bg1"/>
              </a:solidFill>
              <a:effectLst/>
              <a:latin typeface="+mn-lt"/>
              <a:ea typeface="+mn-ea"/>
              <a:cs typeface="+mn-cs"/>
            </a:rPr>
            <a:t>Top Performers</a:t>
          </a:r>
          <a:r>
            <a:rPr lang="en-IN" sz="1400">
              <a:solidFill>
                <a:schemeClr val="bg1"/>
              </a:solidFill>
              <a:effectLst/>
            </a:rPr>
            <a:t> </a:t>
          </a:r>
          <a:endParaRPr lang="en-IN" sz="1400">
            <a:solidFill>
              <a:schemeClr val="bg1"/>
            </a:solidFill>
          </a:endParaRPr>
        </a:p>
      </xdr:txBody>
    </xdr:sp>
    <xdr:clientData/>
  </xdr:twoCellAnchor>
  <xdr:twoCellAnchor>
    <xdr:from>
      <xdr:col>1</xdr:col>
      <xdr:colOff>251012</xdr:colOff>
      <xdr:row>29</xdr:row>
      <xdr:rowOff>89647</xdr:rowOff>
    </xdr:from>
    <xdr:to>
      <xdr:col>6</xdr:col>
      <xdr:colOff>44823</xdr:colOff>
      <xdr:row>43</xdr:row>
      <xdr:rowOff>0</xdr:rowOff>
    </xdr:to>
    <xdr:graphicFrame macro="">
      <xdr:nvGraphicFramePr>
        <xdr:cNvPr id="48" name="Chart 47">
          <a:extLst>
            <a:ext uri="{FF2B5EF4-FFF2-40B4-BE49-F238E27FC236}">
              <a16:creationId xmlns:a16="http://schemas.microsoft.com/office/drawing/2014/main" id="{C91A28EA-9BB5-4513-8B6F-5F855C40A4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322730</xdr:colOff>
      <xdr:row>29</xdr:row>
      <xdr:rowOff>116543</xdr:rowOff>
    </xdr:from>
    <xdr:to>
      <xdr:col>11</xdr:col>
      <xdr:colOff>152400</xdr:colOff>
      <xdr:row>42</xdr:row>
      <xdr:rowOff>178013</xdr:rowOff>
    </xdr:to>
    <xdr:graphicFrame macro="">
      <xdr:nvGraphicFramePr>
        <xdr:cNvPr id="49" name="Chart 48">
          <a:extLst>
            <a:ext uri="{FF2B5EF4-FFF2-40B4-BE49-F238E27FC236}">
              <a16:creationId xmlns:a16="http://schemas.microsoft.com/office/drawing/2014/main" id="{384AC665-FFC3-4371-AC52-CE23C251CD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448235</xdr:colOff>
      <xdr:row>29</xdr:row>
      <xdr:rowOff>116542</xdr:rowOff>
    </xdr:from>
    <xdr:to>
      <xdr:col>16</xdr:col>
      <xdr:colOff>259976</xdr:colOff>
      <xdr:row>42</xdr:row>
      <xdr:rowOff>170328</xdr:rowOff>
    </xdr:to>
    <xdr:graphicFrame macro="">
      <xdr:nvGraphicFramePr>
        <xdr:cNvPr id="50" name="Chart 49">
          <a:extLst>
            <a:ext uri="{FF2B5EF4-FFF2-40B4-BE49-F238E27FC236}">
              <a16:creationId xmlns:a16="http://schemas.microsoft.com/office/drawing/2014/main" id="{A09461E5-C849-4C8E-A3D0-608931E4EC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286870</xdr:colOff>
      <xdr:row>15</xdr:row>
      <xdr:rowOff>62753</xdr:rowOff>
    </xdr:from>
    <xdr:to>
      <xdr:col>8</xdr:col>
      <xdr:colOff>448235</xdr:colOff>
      <xdr:row>25</xdr:row>
      <xdr:rowOff>116541</xdr:rowOff>
    </xdr:to>
    <xdr:graphicFrame macro="">
      <xdr:nvGraphicFramePr>
        <xdr:cNvPr id="51" name="Chart 50">
          <a:extLst>
            <a:ext uri="{FF2B5EF4-FFF2-40B4-BE49-F238E27FC236}">
              <a16:creationId xmlns:a16="http://schemas.microsoft.com/office/drawing/2014/main" id="{52ACA5DB-5587-4A15-9585-6B8C99D6A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134470</xdr:colOff>
      <xdr:row>15</xdr:row>
      <xdr:rowOff>71717</xdr:rowOff>
    </xdr:from>
    <xdr:to>
      <xdr:col>16</xdr:col>
      <xdr:colOff>259975</xdr:colOff>
      <xdr:row>25</xdr:row>
      <xdr:rowOff>125506</xdr:rowOff>
    </xdr:to>
    <xdr:graphicFrame macro="">
      <xdr:nvGraphicFramePr>
        <xdr:cNvPr id="52" name="Chart 51">
          <a:extLst>
            <a:ext uri="{FF2B5EF4-FFF2-40B4-BE49-F238E27FC236}">
              <a16:creationId xmlns:a16="http://schemas.microsoft.com/office/drawing/2014/main" id="{BD9EEDD1-34CC-4DAD-88C6-32E3BC8710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5</xdr:col>
      <xdr:colOff>17928</xdr:colOff>
      <xdr:row>9</xdr:row>
      <xdr:rowOff>17930</xdr:rowOff>
    </xdr:from>
    <xdr:to>
      <xdr:col>6</xdr:col>
      <xdr:colOff>179293</xdr:colOff>
      <xdr:row>11</xdr:row>
      <xdr:rowOff>161366</xdr:rowOff>
    </xdr:to>
    <xdr:pic>
      <xdr:nvPicPr>
        <xdr:cNvPr id="54" name="Graphic 53" descr="Body builder with solid fill">
          <a:extLst>
            <a:ext uri="{FF2B5EF4-FFF2-40B4-BE49-F238E27FC236}">
              <a16:creationId xmlns:a16="http://schemas.microsoft.com/office/drawing/2014/main" id="{EFCB9F9A-BCDC-279B-BC9A-11710456414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65928" y="1631577"/>
          <a:ext cx="770965" cy="502024"/>
        </a:xfrm>
        <a:prstGeom prst="rect">
          <a:avLst/>
        </a:prstGeom>
        <a:effectLst>
          <a:glow rad="63500">
            <a:schemeClr val="bg1">
              <a:alpha val="40000"/>
            </a:schemeClr>
          </a:glow>
          <a:innerShdw blurRad="63500" dist="50800" dir="13500000">
            <a:schemeClr val="bg1">
              <a:lumMod val="95000"/>
              <a:alpha val="50000"/>
            </a:schemeClr>
          </a:innerShdw>
        </a:effectLst>
      </xdr:spPr>
    </xdr:pic>
    <xdr:clientData/>
  </xdr:twoCellAnchor>
  <xdr:twoCellAnchor editAs="oneCell">
    <xdr:from>
      <xdr:col>12</xdr:col>
      <xdr:colOff>546846</xdr:colOff>
      <xdr:row>8</xdr:row>
      <xdr:rowOff>170331</xdr:rowOff>
    </xdr:from>
    <xdr:to>
      <xdr:col>14</xdr:col>
      <xdr:colOff>107575</xdr:colOff>
      <xdr:row>11</xdr:row>
      <xdr:rowOff>152401</xdr:rowOff>
    </xdr:to>
    <xdr:pic>
      <xdr:nvPicPr>
        <xdr:cNvPr id="56" name="Graphic 55" descr="Clock with solid fill">
          <a:extLst>
            <a:ext uri="{FF2B5EF4-FFF2-40B4-BE49-F238E27FC236}">
              <a16:creationId xmlns:a16="http://schemas.microsoft.com/office/drawing/2014/main" id="{D746D717-FE72-27D8-BE0D-A6728D3A75F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862046" y="1604684"/>
          <a:ext cx="779929" cy="519952"/>
        </a:xfrm>
        <a:prstGeom prst="rect">
          <a:avLst/>
        </a:prstGeom>
        <a:effectLst>
          <a:glow rad="63500">
            <a:schemeClr val="bg1">
              <a:lumMod val="95000"/>
              <a:alpha val="40000"/>
            </a:schemeClr>
          </a:glow>
          <a:innerShdw blurRad="63500" dist="50800" dir="13500000">
            <a:schemeClr val="bg1">
              <a:alpha val="50000"/>
            </a:schemeClr>
          </a:innerShdw>
        </a:effectLst>
      </xdr:spPr>
    </xdr:pic>
    <xdr:clientData/>
  </xdr:twoCellAnchor>
  <xdr:twoCellAnchor editAs="oneCell">
    <xdr:from>
      <xdr:col>8</xdr:col>
      <xdr:colOff>600635</xdr:colOff>
      <xdr:row>9</xdr:row>
      <xdr:rowOff>0</xdr:rowOff>
    </xdr:from>
    <xdr:to>
      <xdr:col>10</xdr:col>
      <xdr:colOff>131527</xdr:colOff>
      <xdr:row>11</xdr:row>
      <xdr:rowOff>161364</xdr:rowOff>
    </xdr:to>
    <xdr:pic>
      <xdr:nvPicPr>
        <xdr:cNvPr id="58" name="Graphic 57" descr="Statistics with solid fill">
          <a:extLst>
            <a:ext uri="{FF2B5EF4-FFF2-40B4-BE49-F238E27FC236}">
              <a16:creationId xmlns:a16="http://schemas.microsoft.com/office/drawing/2014/main" id="{EF0A9EEC-3C41-591C-F867-51AFA649BB6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477435" y="1620982"/>
          <a:ext cx="750092" cy="521582"/>
        </a:xfrm>
        <a:prstGeom prst="rect">
          <a:avLst/>
        </a:prstGeom>
        <a:effectLst>
          <a:glow rad="63500">
            <a:schemeClr val="bg1">
              <a:alpha val="40000"/>
            </a:schemeClr>
          </a:glow>
          <a:innerShdw blurRad="63500" dist="50800" dir="13500000">
            <a:schemeClr val="bg1">
              <a:alpha val="50000"/>
            </a:schemeClr>
          </a:innerShdw>
        </a:effectLst>
      </xdr:spPr>
    </xdr:pic>
    <xdr:clientData/>
  </xdr:twoCellAnchor>
  <xdr:twoCellAnchor editAs="oneCell">
    <xdr:from>
      <xdr:col>16</xdr:col>
      <xdr:colOff>595745</xdr:colOff>
      <xdr:row>7</xdr:row>
      <xdr:rowOff>55418</xdr:rowOff>
    </xdr:from>
    <xdr:to>
      <xdr:col>23</xdr:col>
      <xdr:colOff>110836</xdr:colOff>
      <xdr:row>17</xdr:row>
      <xdr:rowOff>96981</xdr:rowOff>
    </xdr:to>
    <mc:AlternateContent xmlns:mc="http://schemas.openxmlformats.org/markup-compatibility/2006">
      <mc:Choice xmlns:a14="http://schemas.microsoft.com/office/drawing/2010/main" Requires="a14">
        <xdr:graphicFrame macro="">
          <xdr:nvGraphicFramePr>
            <xdr:cNvPr id="60" name="Performance Rating">
              <a:extLst>
                <a:ext uri="{FF2B5EF4-FFF2-40B4-BE49-F238E27FC236}">
                  <a16:creationId xmlns:a16="http://schemas.microsoft.com/office/drawing/2014/main" id="{5B7A0FB7-68E9-432C-93D7-3696DB4A086A}"/>
                </a:ext>
              </a:extLst>
            </xdr:cNvPr>
            <xdr:cNvGraphicFramePr/>
          </xdr:nvGraphicFramePr>
          <xdr:xfrm>
            <a:off x="0" y="0"/>
            <a:ext cx="0" cy="0"/>
          </xdr:xfrm>
          <a:graphic>
            <a:graphicData uri="http://schemas.microsoft.com/office/drawing/2010/slicer">
              <sle:slicer xmlns:sle="http://schemas.microsoft.com/office/drawing/2010/slicer" name="Performance Rating"/>
            </a:graphicData>
          </a:graphic>
        </xdr:graphicFrame>
      </mc:Choice>
      <mc:Fallback>
        <xdr:sp macro="" textlink="">
          <xdr:nvSpPr>
            <xdr:cNvPr id="0" name=""/>
            <xdr:cNvSpPr>
              <a:spLocks noTextEdit="1"/>
            </xdr:cNvSpPr>
          </xdr:nvSpPr>
          <xdr:spPr>
            <a:xfrm>
              <a:off x="10349345" y="1316182"/>
              <a:ext cx="3782291" cy="18426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ika Bhudhiraju" refreshedDate="45919.775968634262" createdVersion="8" refreshedVersion="8" minRefreshableVersion="3" recordCount="100" xr:uid="{AA86EC47-A4AE-4FCE-9D02-7A325E199959}">
  <cacheSource type="worksheet">
    <worksheetSource name="Table1"/>
  </cacheSource>
  <cacheFields count="9">
    <cacheField name="EmployeeID" numFmtId="0">
      <sharedItems/>
    </cacheField>
    <cacheField name="Name" numFmtId="0">
      <sharedItems count="46">
        <s v="Karthik"/>
        <s v="Divya"/>
        <s v="Akash"/>
        <s v="Swati"/>
        <s v="Poonam"/>
        <s v="Ravi"/>
        <s v="Manasi"/>
        <s v="Ritu"/>
        <s v="Mohan"/>
        <s v="Shreya"/>
        <s v="Amit"/>
        <s v="Aditya"/>
        <s v="Nisha"/>
        <s v="Megha"/>
        <s v="Manoj"/>
        <s v="Omkar"/>
        <s v="Geeta"/>
        <s v="Varun"/>
        <s v="Prakash"/>
        <s v="Rohan"/>
        <s v="Suresh"/>
        <s v="Farhan"/>
        <s v="Tanvi"/>
        <s v="Neha"/>
        <s v="Kavya"/>
        <s v="Arjun"/>
        <s v="Pooja"/>
        <s v="Saanvi"/>
        <s v="Satish"/>
        <s v="Rahul"/>
        <s v="Lakshmi"/>
        <s v="Meera"/>
        <s v="Anil"/>
        <s v="Sneha"/>
        <s v="Dev"/>
        <s v="Deepak"/>
        <s v="Kiran"/>
        <s v="Sonal"/>
        <s v="Ishita"/>
        <s v="Uma"/>
        <s v="Nitin"/>
        <s v="Vikram"/>
        <s v="Priya"/>
        <s v="Vani"/>
        <s v="Harsh"/>
        <s v="Chirag"/>
      </sharedItems>
    </cacheField>
    <cacheField name="Department" numFmtId="0">
      <sharedItems count="6">
        <s v="Marketing"/>
        <s v="Sales"/>
        <s v="IT"/>
        <s v="Operations"/>
        <s v="HR"/>
        <s v="Finance"/>
      </sharedItems>
    </cacheField>
    <cacheField name="Tasks_Completed" numFmtId="0">
      <sharedItems containsSemiMixedTypes="0" containsString="0" containsNumber="1" containsInteger="1" minValue="61" maxValue="160"/>
    </cacheField>
    <cacheField name="Errors_Made" numFmtId="0">
      <sharedItems containsSemiMixedTypes="0" containsString="0" containsNumber="1" containsInteger="1" minValue="3" maxValue="20"/>
    </cacheField>
    <cacheField name="Hours_Worked" numFmtId="0">
      <sharedItems containsSemiMixedTypes="0" containsString="0" containsNumber="1" containsInteger="1" minValue="140" maxValue="190"/>
    </cacheField>
    <cacheField name="Performance Rating" numFmtId="0">
      <sharedItems count="3">
        <s v="Medium"/>
        <s v="Low"/>
        <s v="High"/>
      </sharedItems>
    </cacheField>
    <cacheField name="Field1" numFmtId="0" formula="Errors_Made/Tasks_Completed" databaseField="0"/>
    <cacheField name="Field2" numFmtId="0" formula="SUM(Errors_Made) / SUM(Tasks_Completed)" databaseField="0"/>
  </cacheFields>
  <extLst>
    <ext xmlns:x14="http://schemas.microsoft.com/office/spreadsheetml/2009/9/main" uri="{725AE2AE-9491-48be-B2B4-4EB974FC3084}">
      <x14:pivotCacheDefinition pivotCacheId="3657320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MP001"/>
    <x v="0"/>
    <x v="0"/>
    <n v="111"/>
    <n v="3"/>
    <n v="160"/>
    <x v="0"/>
  </r>
  <r>
    <s v="EMP002"/>
    <x v="1"/>
    <x v="1"/>
    <n v="85"/>
    <n v="16"/>
    <n v="140"/>
    <x v="1"/>
  </r>
  <r>
    <s v="EMP003"/>
    <x v="2"/>
    <x v="2"/>
    <n v="138"/>
    <n v="6"/>
    <n v="143"/>
    <x v="0"/>
  </r>
  <r>
    <s v="EMP004"/>
    <x v="3"/>
    <x v="3"/>
    <n v="65"/>
    <n v="3"/>
    <n v="150"/>
    <x v="2"/>
  </r>
  <r>
    <s v="EMP005"/>
    <x v="4"/>
    <x v="4"/>
    <n v="118"/>
    <n v="13"/>
    <n v="188"/>
    <x v="2"/>
  </r>
  <r>
    <s v="EMP006"/>
    <x v="5"/>
    <x v="2"/>
    <n v="82"/>
    <n v="7"/>
    <n v="168"/>
    <x v="1"/>
  </r>
  <r>
    <s v="EMP007"/>
    <x v="6"/>
    <x v="0"/>
    <n v="141"/>
    <n v="15"/>
    <n v="173"/>
    <x v="1"/>
  </r>
  <r>
    <s v="EMP008"/>
    <x v="7"/>
    <x v="1"/>
    <n v="75"/>
    <n v="20"/>
    <n v="146"/>
    <x v="2"/>
  </r>
  <r>
    <s v="EMP009"/>
    <x v="8"/>
    <x v="3"/>
    <n v="118"/>
    <n v="10"/>
    <n v="142"/>
    <x v="2"/>
  </r>
  <r>
    <s v="EMP010"/>
    <x v="9"/>
    <x v="2"/>
    <n v="64"/>
    <n v="11"/>
    <n v="155"/>
    <x v="1"/>
  </r>
  <r>
    <s v="EMP011"/>
    <x v="0"/>
    <x v="1"/>
    <n v="92"/>
    <n v="12"/>
    <n v="175"/>
    <x v="1"/>
  </r>
  <r>
    <s v="EMP012"/>
    <x v="10"/>
    <x v="0"/>
    <n v="70"/>
    <n v="14"/>
    <n v="146"/>
    <x v="2"/>
  </r>
  <r>
    <s v="EMP013"/>
    <x v="11"/>
    <x v="5"/>
    <n v="65"/>
    <n v="8"/>
    <n v="178"/>
    <x v="1"/>
  </r>
  <r>
    <s v="EMP014"/>
    <x v="12"/>
    <x v="2"/>
    <n v="124"/>
    <n v="10"/>
    <n v="158"/>
    <x v="2"/>
  </r>
  <r>
    <s v="EMP015"/>
    <x v="13"/>
    <x v="3"/>
    <n v="146"/>
    <n v="7"/>
    <n v="190"/>
    <x v="2"/>
  </r>
  <r>
    <s v="EMP016"/>
    <x v="14"/>
    <x v="4"/>
    <n v="157"/>
    <n v="19"/>
    <n v="190"/>
    <x v="0"/>
  </r>
  <r>
    <s v="EMP017"/>
    <x v="15"/>
    <x v="4"/>
    <n v="61"/>
    <n v="6"/>
    <n v="183"/>
    <x v="2"/>
  </r>
  <r>
    <s v="EMP018"/>
    <x v="4"/>
    <x v="0"/>
    <n v="125"/>
    <n v="14"/>
    <n v="160"/>
    <x v="2"/>
  </r>
  <r>
    <s v="EMP019"/>
    <x v="16"/>
    <x v="1"/>
    <n v="130"/>
    <n v="4"/>
    <n v="149"/>
    <x v="1"/>
  </r>
  <r>
    <s v="EMP020"/>
    <x v="17"/>
    <x v="0"/>
    <n v="137"/>
    <n v="20"/>
    <n v="146"/>
    <x v="1"/>
  </r>
  <r>
    <s v="EMP021"/>
    <x v="18"/>
    <x v="3"/>
    <n v="74"/>
    <n v="17"/>
    <n v="169"/>
    <x v="0"/>
  </r>
  <r>
    <s v="EMP022"/>
    <x v="19"/>
    <x v="2"/>
    <n v="115"/>
    <n v="12"/>
    <n v="160"/>
    <x v="1"/>
  </r>
  <r>
    <s v="EMP023"/>
    <x v="17"/>
    <x v="0"/>
    <n v="92"/>
    <n v="18"/>
    <n v="188"/>
    <x v="2"/>
  </r>
  <r>
    <s v="EMP024"/>
    <x v="20"/>
    <x v="4"/>
    <n v="123"/>
    <n v="5"/>
    <n v="183"/>
    <x v="2"/>
  </r>
  <r>
    <s v="EMP025"/>
    <x v="17"/>
    <x v="2"/>
    <n v="160"/>
    <n v="3"/>
    <n v="141"/>
    <x v="1"/>
  </r>
  <r>
    <s v="EMP026"/>
    <x v="21"/>
    <x v="4"/>
    <n v="95"/>
    <n v="11"/>
    <n v="146"/>
    <x v="2"/>
  </r>
  <r>
    <s v="EMP027"/>
    <x v="22"/>
    <x v="2"/>
    <n v="136"/>
    <n v="14"/>
    <n v="185"/>
    <x v="0"/>
  </r>
  <r>
    <s v="EMP028"/>
    <x v="13"/>
    <x v="5"/>
    <n v="86"/>
    <n v="13"/>
    <n v="180"/>
    <x v="0"/>
  </r>
  <r>
    <s v="EMP029"/>
    <x v="22"/>
    <x v="5"/>
    <n v="96"/>
    <n v="3"/>
    <n v="189"/>
    <x v="1"/>
  </r>
  <r>
    <s v="EMP030"/>
    <x v="16"/>
    <x v="2"/>
    <n v="100"/>
    <n v="9"/>
    <n v="153"/>
    <x v="1"/>
  </r>
  <r>
    <s v="EMP031"/>
    <x v="4"/>
    <x v="0"/>
    <n v="119"/>
    <n v="12"/>
    <n v="173"/>
    <x v="0"/>
  </r>
  <r>
    <s v="EMP032"/>
    <x v="23"/>
    <x v="4"/>
    <n v="148"/>
    <n v="12"/>
    <n v="167"/>
    <x v="1"/>
  </r>
  <r>
    <s v="EMP033"/>
    <x v="18"/>
    <x v="1"/>
    <n v="103"/>
    <n v="9"/>
    <n v="186"/>
    <x v="1"/>
  </r>
  <r>
    <s v="EMP034"/>
    <x v="24"/>
    <x v="2"/>
    <n v="130"/>
    <n v="15"/>
    <n v="178"/>
    <x v="0"/>
  </r>
  <r>
    <s v="EMP035"/>
    <x v="25"/>
    <x v="2"/>
    <n v="114"/>
    <n v="11"/>
    <n v="156"/>
    <x v="1"/>
  </r>
  <r>
    <s v="EMP036"/>
    <x v="26"/>
    <x v="5"/>
    <n v="141"/>
    <n v="6"/>
    <n v="164"/>
    <x v="0"/>
  </r>
  <r>
    <s v="EMP037"/>
    <x v="9"/>
    <x v="4"/>
    <n v="63"/>
    <n v="3"/>
    <n v="164"/>
    <x v="2"/>
  </r>
  <r>
    <s v="EMP038"/>
    <x v="23"/>
    <x v="3"/>
    <n v="113"/>
    <n v="16"/>
    <n v="147"/>
    <x v="0"/>
  </r>
  <r>
    <s v="EMP039"/>
    <x v="8"/>
    <x v="5"/>
    <n v="63"/>
    <n v="4"/>
    <n v="151"/>
    <x v="0"/>
  </r>
  <r>
    <s v="EMP040"/>
    <x v="27"/>
    <x v="2"/>
    <n v="135"/>
    <n v="16"/>
    <n v="175"/>
    <x v="0"/>
  </r>
  <r>
    <s v="EMP041"/>
    <x v="28"/>
    <x v="1"/>
    <n v="67"/>
    <n v="12"/>
    <n v="189"/>
    <x v="1"/>
  </r>
  <r>
    <s v="EMP042"/>
    <x v="29"/>
    <x v="0"/>
    <n v="75"/>
    <n v="19"/>
    <n v="160"/>
    <x v="1"/>
  </r>
  <r>
    <s v="EMP043"/>
    <x v="0"/>
    <x v="5"/>
    <n v="80"/>
    <n v="20"/>
    <n v="161"/>
    <x v="0"/>
  </r>
  <r>
    <s v="EMP044"/>
    <x v="29"/>
    <x v="0"/>
    <n v="116"/>
    <n v="10"/>
    <n v="183"/>
    <x v="1"/>
  </r>
  <r>
    <s v="EMP045"/>
    <x v="30"/>
    <x v="2"/>
    <n v="134"/>
    <n v="17"/>
    <n v="148"/>
    <x v="2"/>
  </r>
  <r>
    <s v="EMP046"/>
    <x v="9"/>
    <x v="4"/>
    <n v="141"/>
    <n v="13"/>
    <n v="165"/>
    <x v="1"/>
  </r>
  <r>
    <s v="EMP047"/>
    <x v="31"/>
    <x v="3"/>
    <n v="104"/>
    <n v="9"/>
    <n v="178"/>
    <x v="1"/>
  </r>
  <r>
    <s v="EMP048"/>
    <x v="25"/>
    <x v="3"/>
    <n v="78"/>
    <n v="10"/>
    <n v="188"/>
    <x v="2"/>
  </r>
  <r>
    <s v="EMP049"/>
    <x v="32"/>
    <x v="4"/>
    <n v="137"/>
    <n v="7"/>
    <n v="143"/>
    <x v="0"/>
  </r>
  <r>
    <s v="EMP050"/>
    <x v="33"/>
    <x v="2"/>
    <n v="131"/>
    <n v="19"/>
    <n v="145"/>
    <x v="0"/>
  </r>
  <r>
    <s v="EMP051"/>
    <x v="34"/>
    <x v="4"/>
    <n v="66"/>
    <n v="8"/>
    <n v="144"/>
    <x v="0"/>
  </r>
  <r>
    <s v="EMP052"/>
    <x v="12"/>
    <x v="4"/>
    <n v="147"/>
    <n v="12"/>
    <n v="185"/>
    <x v="1"/>
  </r>
  <r>
    <s v="EMP053"/>
    <x v="35"/>
    <x v="5"/>
    <n v="80"/>
    <n v="4"/>
    <n v="185"/>
    <x v="2"/>
  </r>
  <r>
    <s v="EMP054"/>
    <x v="6"/>
    <x v="0"/>
    <n v="72"/>
    <n v="12"/>
    <n v="148"/>
    <x v="2"/>
  </r>
  <r>
    <s v="EMP055"/>
    <x v="10"/>
    <x v="0"/>
    <n v="75"/>
    <n v="7"/>
    <n v="183"/>
    <x v="2"/>
  </r>
  <r>
    <s v="EMP056"/>
    <x v="9"/>
    <x v="1"/>
    <n v="107"/>
    <n v="11"/>
    <n v="157"/>
    <x v="1"/>
  </r>
  <r>
    <s v="EMP057"/>
    <x v="9"/>
    <x v="5"/>
    <n v="142"/>
    <n v="8"/>
    <n v="167"/>
    <x v="0"/>
  </r>
  <r>
    <s v="EMP058"/>
    <x v="36"/>
    <x v="2"/>
    <n v="137"/>
    <n v="5"/>
    <n v="183"/>
    <x v="2"/>
  </r>
  <r>
    <s v="EMP059"/>
    <x v="37"/>
    <x v="3"/>
    <n v="79"/>
    <n v="12"/>
    <n v="145"/>
    <x v="2"/>
  </r>
  <r>
    <s v="EMP060"/>
    <x v="38"/>
    <x v="3"/>
    <n v="109"/>
    <n v="9"/>
    <n v="151"/>
    <x v="2"/>
  </r>
  <r>
    <s v="EMP061"/>
    <x v="39"/>
    <x v="1"/>
    <n v="61"/>
    <n v="4"/>
    <n v="153"/>
    <x v="2"/>
  </r>
  <r>
    <s v="EMP062"/>
    <x v="7"/>
    <x v="1"/>
    <n v="145"/>
    <n v="20"/>
    <n v="190"/>
    <x v="2"/>
  </r>
  <r>
    <s v="EMP063"/>
    <x v="2"/>
    <x v="3"/>
    <n v="104"/>
    <n v="19"/>
    <n v="155"/>
    <x v="0"/>
  </r>
  <r>
    <s v="EMP064"/>
    <x v="33"/>
    <x v="4"/>
    <n v="148"/>
    <n v="14"/>
    <n v="166"/>
    <x v="1"/>
  </r>
  <r>
    <s v="EMP065"/>
    <x v="40"/>
    <x v="2"/>
    <n v="148"/>
    <n v="9"/>
    <n v="165"/>
    <x v="2"/>
  </r>
  <r>
    <s v="EMP066"/>
    <x v="23"/>
    <x v="1"/>
    <n v="74"/>
    <n v="17"/>
    <n v="147"/>
    <x v="2"/>
  </r>
  <r>
    <s v="EMP067"/>
    <x v="7"/>
    <x v="3"/>
    <n v="116"/>
    <n v="14"/>
    <n v="168"/>
    <x v="2"/>
  </r>
  <r>
    <s v="EMP068"/>
    <x v="17"/>
    <x v="5"/>
    <n v="133"/>
    <n v="15"/>
    <n v="156"/>
    <x v="1"/>
  </r>
  <r>
    <s v="EMP069"/>
    <x v="1"/>
    <x v="4"/>
    <n v="92"/>
    <n v="4"/>
    <n v="188"/>
    <x v="1"/>
  </r>
  <r>
    <s v="EMP070"/>
    <x v="27"/>
    <x v="5"/>
    <n v="117"/>
    <n v="12"/>
    <n v="176"/>
    <x v="0"/>
  </r>
  <r>
    <s v="EMP071"/>
    <x v="9"/>
    <x v="0"/>
    <n v="99"/>
    <n v="9"/>
    <n v="160"/>
    <x v="0"/>
  </r>
  <r>
    <s v="EMP072"/>
    <x v="10"/>
    <x v="2"/>
    <n v="103"/>
    <n v="11"/>
    <n v="142"/>
    <x v="0"/>
  </r>
  <r>
    <s v="EMP073"/>
    <x v="16"/>
    <x v="4"/>
    <n v="93"/>
    <n v="11"/>
    <n v="145"/>
    <x v="1"/>
  </r>
  <r>
    <s v="EMP074"/>
    <x v="28"/>
    <x v="0"/>
    <n v="102"/>
    <n v="14"/>
    <n v="169"/>
    <x v="0"/>
  </r>
  <r>
    <s v="EMP075"/>
    <x v="41"/>
    <x v="3"/>
    <n v="153"/>
    <n v="20"/>
    <n v="179"/>
    <x v="1"/>
  </r>
  <r>
    <s v="EMP076"/>
    <x v="40"/>
    <x v="0"/>
    <n v="157"/>
    <n v="3"/>
    <n v="175"/>
    <x v="2"/>
  </r>
  <r>
    <s v="EMP077"/>
    <x v="42"/>
    <x v="2"/>
    <n v="141"/>
    <n v="4"/>
    <n v="145"/>
    <x v="0"/>
  </r>
  <r>
    <s v="EMP078"/>
    <x v="2"/>
    <x v="1"/>
    <n v="72"/>
    <n v="14"/>
    <n v="182"/>
    <x v="0"/>
  </r>
  <r>
    <s v="EMP079"/>
    <x v="41"/>
    <x v="2"/>
    <n v="76"/>
    <n v="16"/>
    <n v="153"/>
    <x v="2"/>
  </r>
  <r>
    <s v="EMP080"/>
    <x v="1"/>
    <x v="2"/>
    <n v="160"/>
    <n v="17"/>
    <n v="149"/>
    <x v="1"/>
  </r>
  <r>
    <s v="EMP081"/>
    <x v="36"/>
    <x v="5"/>
    <n v="75"/>
    <n v="18"/>
    <n v="187"/>
    <x v="2"/>
  </r>
  <r>
    <s v="EMP082"/>
    <x v="43"/>
    <x v="4"/>
    <n v="88"/>
    <n v="9"/>
    <n v="190"/>
    <x v="2"/>
  </r>
  <r>
    <s v="EMP083"/>
    <x v="24"/>
    <x v="4"/>
    <n v="70"/>
    <n v="10"/>
    <n v="180"/>
    <x v="2"/>
  </r>
  <r>
    <s v="EMP084"/>
    <x v="11"/>
    <x v="3"/>
    <n v="114"/>
    <n v="6"/>
    <n v="166"/>
    <x v="0"/>
  </r>
  <r>
    <s v="EMP085"/>
    <x v="21"/>
    <x v="1"/>
    <n v="127"/>
    <n v="4"/>
    <n v="169"/>
    <x v="0"/>
  </r>
  <r>
    <s v="EMP086"/>
    <x v="21"/>
    <x v="5"/>
    <n v="74"/>
    <n v="9"/>
    <n v="185"/>
    <x v="1"/>
  </r>
  <r>
    <s v="EMP087"/>
    <x v="13"/>
    <x v="4"/>
    <n v="156"/>
    <n v="8"/>
    <n v="188"/>
    <x v="1"/>
  </r>
  <r>
    <s v="EMP088"/>
    <x v="39"/>
    <x v="4"/>
    <n v="117"/>
    <n v="4"/>
    <n v="155"/>
    <x v="2"/>
  </r>
  <r>
    <s v="EMP089"/>
    <x v="16"/>
    <x v="0"/>
    <n v="63"/>
    <n v="19"/>
    <n v="174"/>
    <x v="0"/>
  </r>
  <r>
    <s v="EMP090"/>
    <x v="30"/>
    <x v="2"/>
    <n v="136"/>
    <n v="19"/>
    <n v="157"/>
    <x v="0"/>
  </r>
  <r>
    <s v="EMP091"/>
    <x v="19"/>
    <x v="0"/>
    <n v="123"/>
    <n v="6"/>
    <n v="162"/>
    <x v="0"/>
  </r>
  <r>
    <s v="EMP092"/>
    <x v="14"/>
    <x v="3"/>
    <n v="142"/>
    <n v="14"/>
    <n v="175"/>
    <x v="2"/>
  </r>
  <r>
    <s v="EMP093"/>
    <x v="22"/>
    <x v="5"/>
    <n v="95"/>
    <n v="15"/>
    <n v="190"/>
    <x v="0"/>
  </r>
  <r>
    <s v="EMP094"/>
    <x v="44"/>
    <x v="1"/>
    <n v="136"/>
    <n v="9"/>
    <n v="179"/>
    <x v="1"/>
  </r>
  <r>
    <s v="EMP095"/>
    <x v="6"/>
    <x v="5"/>
    <n v="137"/>
    <n v="7"/>
    <n v="158"/>
    <x v="1"/>
  </r>
  <r>
    <s v="EMP096"/>
    <x v="45"/>
    <x v="1"/>
    <n v="152"/>
    <n v="6"/>
    <n v="142"/>
    <x v="2"/>
  </r>
  <r>
    <s v="EMP097"/>
    <x v="3"/>
    <x v="3"/>
    <n v="63"/>
    <n v="16"/>
    <n v="170"/>
    <x v="0"/>
  </r>
  <r>
    <s v="EMP098"/>
    <x v="31"/>
    <x v="0"/>
    <n v="114"/>
    <n v="17"/>
    <n v="171"/>
    <x v="2"/>
  </r>
  <r>
    <s v="EMP099"/>
    <x v="13"/>
    <x v="1"/>
    <n v="154"/>
    <n v="13"/>
    <n v="143"/>
    <x v="2"/>
  </r>
  <r>
    <s v="EMP100"/>
    <x v="9"/>
    <x v="4"/>
    <n v="145"/>
    <n v="6"/>
    <n v="18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0ADB162-132E-43F5-A869-DB187B343E1F}" name="PivotTable1" cacheId="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9">
    <pivotField dataField="1" showAll="0"/>
    <pivotField showAll="0"/>
    <pivotField showAll="0"/>
    <pivotField showAll="0"/>
    <pivotField showAll="0"/>
    <pivotField showAll="0"/>
    <pivotField showAll="0">
      <items count="4">
        <item x="2"/>
        <item x="1"/>
        <item x="0"/>
        <item t="default"/>
      </items>
    </pivotField>
    <pivotField dragToRow="0" dragToCol="0" dragToPage="0" showAll="0" defaultSubtotal="0"/>
    <pivotField dragToRow="0" dragToCol="0" dragToPage="0" showAll="0" defaultSubtotal="0"/>
  </pivotFields>
  <rowItems count="1">
    <i/>
  </rowItems>
  <colItems count="1">
    <i/>
  </colItems>
  <dataFields count="1">
    <dataField name="Count of EmployeeID" fld="0" subtotal="count" baseField="0" baseItem="0"/>
  </dataFields>
  <formats count="2">
    <format dxfId="18">
      <pivotArea dataOnly="0" labelOnly="1" outline="0" axis="axisValues" fieldPosition="0"/>
    </format>
    <format dxfId="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FD0CBB7-340C-4A95-A0C4-13768951521C}" name="PivotTable10" cacheId="8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7">
  <location ref="F12:G17" firstHeaderRow="1" firstDataRow="1" firstDataCol="1"/>
  <pivotFields count="9">
    <pivotField showAll="0"/>
    <pivotField axis="axisRow" showAll="0" measureFilter="1">
      <items count="47">
        <item x="11"/>
        <item x="2"/>
        <item x="10"/>
        <item x="32"/>
        <item x="25"/>
        <item x="45"/>
        <item x="35"/>
        <item x="34"/>
        <item x="1"/>
        <item x="21"/>
        <item x="16"/>
        <item x="44"/>
        <item x="38"/>
        <item x="0"/>
        <item x="24"/>
        <item x="36"/>
        <item x="30"/>
        <item x="6"/>
        <item x="14"/>
        <item x="31"/>
        <item x="13"/>
        <item x="8"/>
        <item x="23"/>
        <item x="12"/>
        <item x="40"/>
        <item x="15"/>
        <item x="26"/>
        <item x="4"/>
        <item x="18"/>
        <item x="42"/>
        <item x="29"/>
        <item x="5"/>
        <item x="7"/>
        <item x="19"/>
        <item x="27"/>
        <item x="28"/>
        <item x="9"/>
        <item x="33"/>
        <item x="37"/>
        <item x="20"/>
        <item x="3"/>
        <item x="22"/>
        <item x="39"/>
        <item x="43"/>
        <item x="17"/>
        <item x="41"/>
        <item t="default"/>
      </items>
    </pivotField>
    <pivotField showAll="0">
      <items count="7">
        <item x="5"/>
        <item x="4"/>
        <item x="2"/>
        <item x="0"/>
        <item x="3"/>
        <item x="1"/>
        <item t="default"/>
      </items>
    </pivotField>
    <pivotField dataField="1" showAll="0"/>
    <pivotField showAll="0"/>
    <pivotField showAll="0"/>
    <pivotField showAll="0">
      <items count="4">
        <item x="2"/>
        <item x="1"/>
        <item x="0"/>
        <item t="default"/>
      </items>
    </pivotField>
    <pivotField dragToRow="0" dragToCol="0" dragToPage="0" showAll="0" defaultSubtotal="0"/>
    <pivotField dragToRow="0" dragToCol="0" dragToPage="0" showAll="0" defaultSubtotal="0"/>
  </pivotFields>
  <rowFields count="1">
    <field x="1"/>
  </rowFields>
  <rowItems count="5">
    <i>
      <x v="10"/>
    </i>
    <i>
      <x v="20"/>
    </i>
    <i>
      <x v="27"/>
    </i>
    <i>
      <x v="36"/>
    </i>
    <i>
      <x v="44"/>
    </i>
  </rowItems>
  <colItems count="1">
    <i/>
  </colItems>
  <dataFields count="1">
    <dataField name="Sum of Tasks_Completed" fld="3" baseField="0" baseItem="0"/>
  </dataFields>
  <formats count="2">
    <format dxfId="20">
      <pivotArea dataOnly="0" labelOnly="1" outline="0" axis="axisValues" fieldPosition="0"/>
    </format>
    <format dxfId="21">
      <pivotArea outline="0" collapsedLevelsAreSubtotals="1" fieldPosition="0"/>
    </format>
  </formats>
  <chartFormats count="6">
    <chartFormat chart="6" format="12" series="1">
      <pivotArea type="data" outline="0" fieldPosition="0">
        <references count="1">
          <reference field="4294967294" count="1" selected="0">
            <x v="0"/>
          </reference>
        </references>
      </pivotArea>
    </chartFormat>
    <chartFormat chart="6" format="13">
      <pivotArea type="data" outline="0" fieldPosition="0">
        <references count="2">
          <reference field="4294967294" count="1" selected="0">
            <x v="0"/>
          </reference>
          <reference field="1" count="1" selected="0">
            <x v="10"/>
          </reference>
        </references>
      </pivotArea>
    </chartFormat>
    <chartFormat chart="6" format="14">
      <pivotArea type="data" outline="0" fieldPosition="0">
        <references count="2">
          <reference field="4294967294" count="1" selected="0">
            <x v="0"/>
          </reference>
          <reference field="1" count="1" selected="0">
            <x v="20"/>
          </reference>
        </references>
      </pivotArea>
    </chartFormat>
    <chartFormat chart="6" format="15">
      <pivotArea type="data" outline="0" fieldPosition="0">
        <references count="2">
          <reference field="4294967294" count="1" selected="0">
            <x v="0"/>
          </reference>
          <reference field="1" count="1" selected="0">
            <x v="27"/>
          </reference>
        </references>
      </pivotArea>
    </chartFormat>
    <chartFormat chart="6" format="16">
      <pivotArea type="data" outline="0" fieldPosition="0">
        <references count="2">
          <reference field="4294967294" count="1" selected="0">
            <x v="0"/>
          </reference>
          <reference field="1" count="1" selected="0">
            <x v="36"/>
          </reference>
        </references>
      </pivotArea>
    </chartFormat>
    <chartFormat chart="6" format="17">
      <pivotArea type="data" outline="0" fieldPosition="0">
        <references count="2">
          <reference field="4294967294" count="1" selected="0">
            <x v="0"/>
          </reference>
          <reference field="1" count="1" selected="0">
            <x v="44"/>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053692-D0FE-4960-8FAB-CA6A0E445DE3}" name="PivotTable7" cacheId="8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9">
  <location ref="K3:L6" firstHeaderRow="1" firstDataRow="1" firstDataCol="1"/>
  <pivotFields count="9">
    <pivotField dataField="1" showAll="0"/>
    <pivotField showAll="0"/>
    <pivotField showAll="0"/>
    <pivotField showAll="0"/>
    <pivotField showAll="0"/>
    <pivotField showAll="0"/>
    <pivotField axis="axisRow" showAll="0">
      <items count="4">
        <item x="2"/>
        <item x="1"/>
        <item x="0"/>
        <item t="default"/>
      </items>
    </pivotField>
    <pivotField dragToRow="0" dragToCol="0" dragToPage="0" showAll="0" defaultSubtotal="0"/>
    <pivotField dragToRow="0" dragToCol="0" dragToPage="0" showAll="0" defaultSubtotal="0"/>
  </pivotFields>
  <rowFields count="1">
    <field x="6"/>
  </rowFields>
  <rowItems count="3">
    <i>
      <x/>
    </i>
    <i>
      <x v="1"/>
    </i>
    <i>
      <x v="2"/>
    </i>
  </rowItems>
  <colItems count="1">
    <i/>
  </colItems>
  <dataFields count="1">
    <dataField name="Count of EmployeeID" fld="0" subtotal="count" baseField="0" baseItem="0"/>
  </dataFields>
  <formats count="2">
    <format dxfId="6">
      <pivotArea dataOnly="0" labelOnly="1" outline="0" axis="axisValues" fieldPosition="0"/>
    </format>
    <format dxfId="7">
      <pivotArea outline="0" collapsedLevelsAreSubtotals="1" fieldPosition="0"/>
    </format>
  </formats>
  <chartFormats count="4">
    <chartFormat chart="8" format="13" series="1">
      <pivotArea type="data" outline="0" fieldPosition="0">
        <references count="1">
          <reference field="4294967294" count="1" selected="0">
            <x v="0"/>
          </reference>
        </references>
      </pivotArea>
    </chartFormat>
    <chartFormat chart="8" format="14">
      <pivotArea type="data" outline="0" fieldPosition="0">
        <references count="2">
          <reference field="4294967294" count="1" selected="0">
            <x v="0"/>
          </reference>
          <reference field="6" count="1" selected="0">
            <x v="0"/>
          </reference>
        </references>
      </pivotArea>
    </chartFormat>
    <chartFormat chart="8" format="15">
      <pivotArea type="data" outline="0" fieldPosition="0">
        <references count="2">
          <reference field="4294967294" count="1" selected="0">
            <x v="0"/>
          </reference>
          <reference field="6" count="1" selected="0">
            <x v="1"/>
          </reference>
        </references>
      </pivotArea>
    </chartFormat>
    <chartFormat chart="8" format="16">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1B33772-4BFB-4F72-BE44-058102C250D7}" name="PivotTable6" cacheId="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I4" firstHeaderRow="1" firstDataRow="1" firstDataCol="0"/>
  <pivotFields count="9">
    <pivotField showAll="0"/>
    <pivotField showAll="0"/>
    <pivotField showAll="0"/>
    <pivotField showAll="0"/>
    <pivotField showAll="0"/>
    <pivotField dataField="1" showAll="0"/>
    <pivotField showAll="0">
      <items count="4">
        <item x="2"/>
        <item x="1"/>
        <item x="0"/>
        <item t="default"/>
      </items>
    </pivotField>
    <pivotField dragToRow="0" dragToCol="0" dragToPage="0" showAll="0" defaultSubtotal="0"/>
    <pivotField dragToRow="0" dragToCol="0" dragToPage="0" showAll="0" defaultSubtotal="0"/>
  </pivotFields>
  <rowItems count="1">
    <i/>
  </rowItems>
  <colItems count="1">
    <i/>
  </colItems>
  <dataFields count="1">
    <dataField name="Average of Hours_Worked" fld="5" subtotal="average" baseField="0" baseItem="0" numFmtId="1"/>
  </dataFields>
  <formats count="3">
    <format dxfId="8">
      <pivotArea dataOnly="0" labelOnly="1" outline="0" axis="axisValues" fieldPosition="0"/>
    </format>
    <format dxfId="9">
      <pivotArea outline="0" collapsedLevelsAreSubtotals="1" fieldPosition="0"/>
    </format>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571F718-61C7-4CAB-9765-B3EC288D7762}" name="PivotTable13" cacheId="82"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0">
  <location ref="A12:B18" firstHeaderRow="1" firstDataRow="1" firstDataCol="1"/>
  <pivotFields count="9">
    <pivotField showAll="0"/>
    <pivotField showAll="0"/>
    <pivotField axis="axisRow" showAll="0">
      <items count="7">
        <item x="5"/>
        <item x="4"/>
        <item x="2"/>
        <item x="0"/>
        <item x="3"/>
        <item x="1"/>
        <item t="default"/>
      </items>
    </pivotField>
    <pivotField showAll="0"/>
    <pivotField showAll="0"/>
    <pivotField showAll="0"/>
    <pivotField showAll="0">
      <items count="4">
        <item x="2"/>
        <item x="1"/>
        <item x="0"/>
        <item t="default"/>
      </items>
    </pivotField>
    <pivotField dragToRow="0" dragToCol="0" dragToPage="0" showAll="0" defaultSubtotal="0"/>
    <pivotField dataField="1" dragToRow="0" dragToCol="0" dragToPage="0" showAll="0" defaultSubtotal="0"/>
  </pivotFields>
  <rowFields count="1">
    <field x="2"/>
  </rowFields>
  <rowItems count="6">
    <i>
      <x/>
    </i>
    <i>
      <x v="1"/>
    </i>
    <i>
      <x v="2"/>
    </i>
    <i>
      <x v="3"/>
    </i>
    <i>
      <x v="4"/>
    </i>
    <i>
      <x v="5"/>
    </i>
  </rowItems>
  <colItems count="1">
    <i/>
  </colItems>
  <dataFields count="1">
    <dataField name="Error Rate" fld="8" baseField="0" baseItem="0"/>
  </dataFields>
  <formats count="4">
    <format dxfId="0">
      <pivotArea dataOnly="0" labelOnly="1" outline="0" axis="axisValues" fieldPosition="0"/>
    </format>
    <format dxfId="1">
      <pivotArea outline="0" collapsedLevelsAreSubtotals="1" fieldPosition="0"/>
    </format>
    <format dxfId="2">
      <pivotArea collapsedLevelsAreSubtotals="1" fieldPosition="0">
        <references count="2">
          <reference field="4294967294" count="1" selected="0">
            <x v="0"/>
          </reference>
          <reference field="2" count="0"/>
        </references>
      </pivotArea>
    </format>
    <format dxfId="3">
      <pivotArea field="2" grandRow="1" outline="0" collapsedLevelsAreSubtotals="1" axis="axisRow" fieldPosition="0">
        <references count="1">
          <reference field="4294967294" count="1" selected="0">
            <x v="0"/>
          </reference>
        </references>
      </pivotArea>
    </format>
  </formats>
  <chartFormats count="1">
    <chartFormat chart="2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B20784-CFD8-47B0-98FC-D730EF22BEF0}" name="PivotTable12" cacheId="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O3:P4" firstHeaderRow="0" firstDataRow="1" firstDataCol="0"/>
  <pivotFields count="9">
    <pivotField showAll="0"/>
    <pivotField showAll="0"/>
    <pivotField showAll="0"/>
    <pivotField dataField="1" showAll="0"/>
    <pivotField dataField="1" showAll="0"/>
    <pivotField showAll="0"/>
    <pivotField showAll="0">
      <items count="4">
        <item x="2"/>
        <item x="1"/>
        <item x="0"/>
        <item t="default"/>
      </items>
    </pivotField>
    <pivotField dragToRow="0" dragToCol="0" dragToPage="0" showAll="0" defaultSubtotal="0"/>
    <pivotField dragToRow="0" dragToCol="0" dragToPage="0" showAll="0" defaultSubtotal="0"/>
  </pivotFields>
  <rowItems count="1">
    <i/>
  </rowItems>
  <colFields count="1">
    <field x="-2"/>
  </colFields>
  <colItems count="2">
    <i>
      <x/>
    </i>
    <i i="1">
      <x v="1"/>
    </i>
  </colItems>
  <dataFields count="2">
    <dataField name="Sum of Tasks_Completed" fld="3" baseField="0" baseItem="0"/>
    <dataField name="Sum of Errors_Made" fld="4" baseField="0" baseItem="0"/>
  </dataFields>
  <formats count="2">
    <format dxfId="4">
      <pivotArea dataOnly="0" labelOnly="1" outline="0" axis="axisValues" fieldPosition="0"/>
    </format>
    <format dxfId="5">
      <pivotArea outline="0" collapsedLevelsAreSubtotals="1" fieldPosition="0"/>
    </format>
  </formats>
  <chartFormats count="2">
    <chartFormat chart="8" format="4" series="1">
      <pivotArea type="data" outline="0" fieldPosition="0">
        <references count="1">
          <reference field="4294967294" count="1" selected="0">
            <x v="0"/>
          </reference>
        </references>
      </pivotArea>
    </chartFormat>
    <chartFormat chart="8"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4CF78D-A78D-43FA-84A6-DED600D24AAE}" name="PivotTable4" cacheId="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F4" firstHeaderRow="1" firstDataRow="1" firstDataCol="0"/>
  <pivotFields count="9">
    <pivotField showAll="0"/>
    <pivotField showAll="0"/>
    <pivotField showAll="0"/>
    <pivotField showAll="0"/>
    <pivotField dataField="1" showAll="0"/>
    <pivotField showAll="0"/>
    <pivotField showAll="0">
      <items count="4">
        <item x="2"/>
        <item x="1"/>
        <item x="0"/>
        <item t="default"/>
      </items>
    </pivotField>
    <pivotField dragToRow="0" dragToCol="0" dragToPage="0" showAll="0" defaultSubtotal="0"/>
    <pivotField dragToRow="0" dragToCol="0" dragToPage="0" showAll="0" defaultSubtotal="0"/>
  </pivotFields>
  <rowItems count="1">
    <i/>
  </rowItems>
  <colItems count="1">
    <i/>
  </colItems>
  <dataFields count="1">
    <dataField name="Average of Errors_Made" fld="4" subtotal="average" baseField="0" baseItem="0" numFmtId="1"/>
  </dataFields>
  <formats count="3">
    <format dxfId="11">
      <pivotArea dataOnly="0" labelOnly="1" outline="0" axis="axisValues" fieldPosition="0"/>
    </format>
    <format dxfId="12">
      <pivotArea outline="0" collapsedLevelsAreSubtotals="1" fieldPosition="0"/>
    </format>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D206E2A-9224-4E52-95E8-512559381B21}" name="PivotTable11" cacheId="8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I12:J18" firstHeaderRow="1" firstDataRow="1" firstDataCol="1"/>
  <pivotFields count="9">
    <pivotField showAll="0"/>
    <pivotField showAll="0"/>
    <pivotField axis="axisRow" showAll="0">
      <items count="7">
        <item x="5"/>
        <item x="4"/>
        <item x="2"/>
        <item x="0"/>
        <item x="3"/>
        <item x="1"/>
        <item t="default"/>
      </items>
    </pivotField>
    <pivotField showAll="0"/>
    <pivotField showAll="0"/>
    <pivotField showAll="0"/>
    <pivotField dataField="1" showAll="0">
      <items count="4">
        <item x="2"/>
        <item x="1"/>
        <item x="0"/>
        <item t="default"/>
      </items>
    </pivotField>
    <pivotField dragToRow="0" dragToCol="0" dragToPage="0" showAll="0" defaultSubtotal="0"/>
    <pivotField dragToRow="0" dragToCol="0" dragToPage="0" showAll="0" defaultSubtotal="0"/>
  </pivotFields>
  <rowFields count="1">
    <field x="2"/>
  </rowFields>
  <rowItems count="6">
    <i>
      <x/>
    </i>
    <i>
      <x v="1"/>
    </i>
    <i>
      <x v="2"/>
    </i>
    <i>
      <x v="3"/>
    </i>
    <i>
      <x v="4"/>
    </i>
    <i>
      <x v="5"/>
    </i>
  </rowItems>
  <colItems count="1">
    <i/>
  </colItems>
  <dataFields count="1">
    <dataField name="Count of Performance Rating" fld="6" subtotal="count" baseField="0" baseItem="0"/>
  </dataFields>
  <formats count="2">
    <format dxfId="16">
      <pivotArea dataOnly="0" labelOnly="1" outline="0" axis="axisValues" fieldPosition="0"/>
    </format>
    <format dxfId="17">
      <pivotArea outline="0" collapsedLevelsAreSubtotals="1" fieldPosition="0"/>
    </format>
  </formats>
  <chartFormats count="7">
    <chartFormat chart="3" format="23" series="1">
      <pivotArea type="data" outline="0" fieldPosition="0">
        <references count="1">
          <reference field="4294967294" count="1" selected="0">
            <x v="0"/>
          </reference>
        </references>
      </pivotArea>
    </chartFormat>
    <chartFormat chart="3" format="24">
      <pivotArea type="data" outline="0" fieldPosition="0">
        <references count="2">
          <reference field="4294967294" count="1" selected="0">
            <x v="0"/>
          </reference>
          <reference field="2" count="1" selected="0">
            <x v="1"/>
          </reference>
        </references>
      </pivotArea>
    </chartFormat>
    <chartFormat chart="3" format="25">
      <pivotArea type="data" outline="0" fieldPosition="0">
        <references count="2">
          <reference field="4294967294" count="1" selected="0">
            <x v="0"/>
          </reference>
          <reference field="2" count="1" selected="0">
            <x v="0"/>
          </reference>
        </references>
      </pivotArea>
    </chartFormat>
    <chartFormat chart="3" format="26">
      <pivotArea type="data" outline="0" fieldPosition="0">
        <references count="2">
          <reference field="4294967294" count="1" selected="0">
            <x v="0"/>
          </reference>
          <reference field="2" count="1" selected="0">
            <x v="5"/>
          </reference>
        </references>
      </pivotArea>
    </chartFormat>
    <chartFormat chart="3" format="27">
      <pivotArea type="data" outline="0" fieldPosition="0">
        <references count="2">
          <reference field="4294967294" count="1" selected="0">
            <x v="0"/>
          </reference>
          <reference field="2" count="1" selected="0">
            <x v="4"/>
          </reference>
        </references>
      </pivotArea>
    </chartFormat>
    <chartFormat chart="3" format="28">
      <pivotArea type="data" outline="0" fieldPosition="0">
        <references count="2">
          <reference field="4294967294" count="1" selected="0">
            <x v="0"/>
          </reference>
          <reference field="2" count="1" selected="0">
            <x v="2"/>
          </reference>
        </references>
      </pivotArea>
    </chartFormat>
    <chartFormat chart="3" format="29">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97277F1-21FD-417C-BBA7-696030F7B34B}" name="PivotTable3" cacheId="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3:C4" firstHeaderRow="1" firstDataRow="1" firstDataCol="0"/>
  <pivotFields count="9">
    <pivotField showAll="0"/>
    <pivotField showAll="0"/>
    <pivotField showAll="0"/>
    <pivotField dataField="1" showAll="0"/>
    <pivotField showAll="0"/>
    <pivotField showAll="0"/>
    <pivotField showAll="0">
      <items count="4">
        <item x="2"/>
        <item x="1"/>
        <item x="0"/>
        <item t="default"/>
      </items>
    </pivotField>
    <pivotField dragToRow="0" dragToCol="0" dragToPage="0" showAll="0" defaultSubtotal="0"/>
    <pivotField dragToRow="0" dragToCol="0" dragToPage="0" showAll="0" defaultSubtotal="0"/>
  </pivotFields>
  <rowItems count="1">
    <i/>
  </rowItems>
  <colItems count="1">
    <i/>
  </colItems>
  <dataFields count="1">
    <dataField name="Sum of Tasks_Completed" fld="3" baseField="0" baseItem="0"/>
  </dataFields>
  <formats count="2">
    <format dxfId="14">
      <pivotArea dataOnly="0" labelOnly="1" outline="0" axis="axisValues" fieldPosition="0"/>
    </format>
    <format dxfId="1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C6D5D596-DBDE-4FB6-8298-DE5F423641B3}" sourceName="Department">
  <pivotTables>
    <pivotTable tabId="2" name="PivotTable10"/>
  </pivotTables>
  <data>
    <tabular pivotCacheId="365732073">
      <items count="6">
        <i x="5" s="1"/>
        <i x="4" s="1"/>
        <i x="2" s="1"/>
        <i x="0"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_Rating" xr10:uid="{A5AB36E6-13E3-4621-B655-A7E6803BF7B4}" sourceName="Performance Rating">
  <pivotTables>
    <pivotTable tabId="2" name="PivotTable11"/>
    <pivotTable tabId="2" name="PivotTable1"/>
    <pivotTable tabId="2" name="PivotTable10"/>
    <pivotTable tabId="2" name="PivotTable12"/>
    <pivotTable tabId="2" name="PivotTable13"/>
    <pivotTable tabId="2" name="PivotTable3"/>
    <pivotTable tabId="2" name="PivotTable4"/>
    <pivotTable tabId="2" name="PivotTable6"/>
    <pivotTable tabId="2" name="PivotTable7"/>
  </pivotTables>
  <data>
    <tabular pivotCacheId="365732073">
      <items count="3">
        <i x="2" s="1"/>
        <i x="1"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47B81DAB-503A-4486-A1EB-821615827E7F}" cache="Slicer_Department" caption="Department" style="Slicer Style 1" rowHeight="576000"/>
  <slicer name="Performance Rating" xr10:uid="{9B8C7DAF-7A08-4F03-87D2-BBA7F63DC1E7}" cache="Slicer_Performance_Rating" caption="Performance Rating" style="Slicer Style 1" rowHeight="43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08E1F7-5956-4BFC-8D33-62FE94040EBB}" name="Table1" displayName="Table1" ref="A1:G101" totalsRowShown="0" headerRowDxfId="26" headerRowBorderDxfId="25" tableBorderDxfId="24">
  <autoFilter ref="A1:G101" xr:uid="{0F08E1F7-5956-4BFC-8D33-62FE94040EBB}"/>
  <tableColumns count="7">
    <tableColumn id="1" xr3:uid="{CEB23BBC-FF85-4C6E-AB66-8032EEEA1D16}" name="EmployeeID"/>
    <tableColumn id="2" xr3:uid="{8692AC7E-8C82-415A-A099-E832580BD238}" name="Name"/>
    <tableColumn id="3" xr3:uid="{E000F1FE-AEF4-4A4B-A4CF-1D4768811847}" name="Department"/>
    <tableColumn id="4" xr3:uid="{2D140EE1-1A36-42B6-9D1F-4F40AF839719}" name="Tasks_Completed"/>
    <tableColumn id="5" xr3:uid="{465E9079-E4B8-4517-9A6E-D9A1DD0FDCDB}" name="Errors_Made"/>
    <tableColumn id="6" xr3:uid="{E736169E-6974-4DA4-B685-BEECFBAB958C}" name="Hours_Worked"/>
    <tableColumn id="7" xr3:uid="{EB06FDC5-E588-4176-AF3E-9F99A7A1B023}" name="Performance Rating"/>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0F3DD-9876-44B0-A86C-52FB6969A979}">
  <sheetPr codeName="Sheet1"/>
  <dimension ref="A1"/>
  <sheetViews>
    <sheetView showGridLines="0" tabSelected="1" zoomScale="55" zoomScaleNormal="55" workbookViewId="0">
      <selection activeCell="AE17" sqref="AE17"/>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8543B-B0E9-40AC-91CF-CA74E9831BE5}">
  <sheetPr codeName="Sheet2"/>
  <dimension ref="A2:BY59"/>
  <sheetViews>
    <sheetView showGridLines="0" topLeftCell="F1" workbookViewId="0">
      <selection activeCell="J13" sqref="J13:J19"/>
    </sheetView>
  </sheetViews>
  <sheetFormatPr defaultRowHeight="14.4" x14ac:dyDescent="0.3"/>
  <cols>
    <col min="1" max="1" width="12.5546875" bestFit="1" customWidth="1"/>
    <col min="2" max="2" width="9.33203125" bestFit="1" customWidth="1"/>
    <col min="3" max="3" width="22.5546875" bestFit="1" customWidth="1"/>
    <col min="4" max="4" width="12.33203125" bestFit="1" customWidth="1"/>
    <col min="5" max="5" width="1.109375" hidden="1" customWidth="1"/>
    <col min="6" max="6" width="21.6640625" bestFit="1" customWidth="1"/>
    <col min="7" max="7" width="22.5546875" bestFit="1" customWidth="1"/>
    <col min="8" max="8" width="5.77734375" customWidth="1"/>
    <col min="9" max="9" width="12.5546875" bestFit="1" customWidth="1"/>
    <col min="10" max="10" width="25.88671875" bestFit="1" customWidth="1"/>
    <col min="11" max="11" width="12.5546875" bestFit="1" customWidth="1"/>
    <col min="12" max="12" width="19.109375" bestFit="1" customWidth="1"/>
    <col min="13" max="13" width="5.6640625" customWidth="1"/>
    <col min="14" max="14" width="5.88671875" customWidth="1"/>
    <col min="15" max="15" width="22.5546875" bestFit="1" customWidth="1"/>
    <col min="16" max="16" width="18.44140625" bestFit="1" customWidth="1"/>
    <col min="17" max="38" width="3" bestFit="1" customWidth="1"/>
    <col min="39" max="76" width="4" bestFit="1" customWidth="1"/>
    <col min="77" max="77" width="10.77734375" bestFit="1" customWidth="1"/>
  </cols>
  <sheetData>
    <row r="2" spans="1:77" s="5" customFormat="1" ht="18" x14ac:dyDescent="0.35">
      <c r="A2" s="12" t="s">
        <v>161</v>
      </c>
      <c r="B2" s="12"/>
      <c r="C2" s="12" t="s">
        <v>162</v>
      </c>
      <c r="D2" s="12"/>
      <c r="E2" s="12"/>
      <c r="F2" s="12" t="s">
        <v>163</v>
      </c>
      <c r="G2" s="12"/>
      <c r="I2" s="12" t="s">
        <v>164</v>
      </c>
      <c r="J2" s="12"/>
      <c r="K2" s="10" t="s">
        <v>165</v>
      </c>
      <c r="L2" s="10"/>
      <c r="O2" s="13" t="s">
        <v>174</v>
      </c>
      <c r="P2" s="13"/>
      <c r="Q2" s="13"/>
    </row>
    <row r="3" spans="1:77" ht="14.4" customHeight="1" x14ac:dyDescent="0.3">
      <c r="A3" s="2" t="s">
        <v>166</v>
      </c>
      <c r="C3" s="2" t="s">
        <v>167</v>
      </c>
      <c r="F3" s="2" t="s">
        <v>169</v>
      </c>
      <c r="I3" s="2" t="s">
        <v>170</v>
      </c>
      <c r="K3" s="7" t="s">
        <v>171</v>
      </c>
      <c r="L3" s="2" t="s">
        <v>166</v>
      </c>
      <c r="O3" t="s">
        <v>167</v>
      </c>
      <c r="P3" t="s">
        <v>168</v>
      </c>
    </row>
    <row r="4" spans="1:77" ht="14.4" customHeight="1" x14ac:dyDescent="0.3">
      <c r="A4" s="14">
        <v>100</v>
      </c>
      <c r="B4" s="3"/>
      <c r="C4" s="14">
        <v>10962</v>
      </c>
      <c r="D4" s="3"/>
      <c r="E4" s="3"/>
      <c r="F4" s="9">
        <v>11.13</v>
      </c>
      <c r="G4" s="3"/>
      <c r="H4" s="3"/>
      <c r="I4" s="9">
        <v>165.89</v>
      </c>
      <c r="K4" s="8" t="s">
        <v>160</v>
      </c>
      <c r="L4" s="4">
        <v>37</v>
      </c>
      <c r="O4" s="4">
        <v>10962</v>
      </c>
      <c r="P4" s="4">
        <v>1113</v>
      </c>
    </row>
    <row r="5" spans="1:77" ht="14.4" customHeight="1" x14ac:dyDescent="0.3">
      <c r="K5" s="8" t="s">
        <v>159</v>
      </c>
      <c r="L5" s="4">
        <v>32</v>
      </c>
    </row>
    <row r="6" spans="1:77" ht="14.4" customHeight="1" x14ac:dyDescent="0.3">
      <c r="A6" s="6" t="s">
        <v>166</v>
      </c>
      <c r="C6" s="6" t="s">
        <v>167</v>
      </c>
      <c r="F6" s="6" t="s">
        <v>169</v>
      </c>
      <c r="I6" s="6" t="s">
        <v>170</v>
      </c>
      <c r="K6" s="8" t="s">
        <v>158</v>
      </c>
      <c r="L6" s="4">
        <v>31</v>
      </c>
    </row>
    <row r="7" spans="1:77" ht="14.4" customHeight="1" x14ac:dyDescent="0.35">
      <c r="A7" s="15">
        <f>GETPIVOTDATA("EmployeeID",$A$3)</f>
        <v>100</v>
      </c>
      <c r="C7" s="15">
        <f>GETPIVOTDATA("Tasks_Completed",$C$3)</f>
        <v>10962</v>
      </c>
      <c r="F7" s="16">
        <f>GETPIVOTDATA("Errors_Made",$F$3)</f>
        <v>11.13</v>
      </c>
      <c r="I7" s="16">
        <f>GETPIVOTDATA("Hours_Worked",$I$3)</f>
        <v>165.89</v>
      </c>
    </row>
    <row r="8" spans="1:77" ht="14.4" customHeight="1" x14ac:dyDescent="0.3"/>
    <row r="9" spans="1:77" ht="14.4" customHeight="1" x14ac:dyDescent="0.3"/>
    <row r="10" spans="1:77" ht="14.4" customHeight="1" x14ac:dyDescent="0.3"/>
    <row r="11" spans="1:77" s="5" customFormat="1" ht="18" x14ac:dyDescent="0.35">
      <c r="A11" s="12" t="s">
        <v>175</v>
      </c>
      <c r="B11" s="12"/>
      <c r="C11" s="12"/>
      <c r="F11" s="12" t="s">
        <v>172</v>
      </c>
      <c r="G11" s="12"/>
      <c r="H11" s="12"/>
      <c r="I11" s="10" t="s">
        <v>173</v>
      </c>
      <c r="J11" s="10"/>
      <c r="K11"/>
      <c r="L11"/>
      <c r="M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row>
    <row r="12" spans="1:77" ht="14.4" customHeight="1" x14ac:dyDescent="0.3">
      <c r="A12" s="7" t="s">
        <v>171</v>
      </c>
      <c r="B12" s="2" t="s">
        <v>176</v>
      </c>
      <c r="F12" s="7" t="s">
        <v>171</v>
      </c>
      <c r="G12" s="2" t="s">
        <v>167</v>
      </c>
      <c r="I12" s="7" t="s">
        <v>171</v>
      </c>
      <c r="J12" s="2" t="s">
        <v>178</v>
      </c>
    </row>
    <row r="13" spans="1:77" ht="14.4" customHeight="1" x14ac:dyDescent="0.3">
      <c r="A13" s="8" t="s">
        <v>157</v>
      </c>
      <c r="B13" s="11">
        <v>0.10260115606936417</v>
      </c>
      <c r="F13" s="8" t="s">
        <v>122</v>
      </c>
      <c r="G13" s="4">
        <v>386</v>
      </c>
      <c r="I13" s="8" t="s">
        <v>157</v>
      </c>
      <c r="J13" s="4">
        <v>14</v>
      </c>
    </row>
    <row r="14" spans="1:77" ht="14.4" customHeight="1" x14ac:dyDescent="0.3">
      <c r="A14" s="8" t="s">
        <v>156</v>
      </c>
      <c r="B14" s="11">
        <v>8.0831408775981523E-2</v>
      </c>
      <c r="F14" s="8" t="s">
        <v>119</v>
      </c>
      <c r="G14" s="4">
        <v>542</v>
      </c>
      <c r="I14" s="8" t="s">
        <v>156</v>
      </c>
      <c r="J14" s="4">
        <v>19</v>
      </c>
    </row>
    <row r="15" spans="1:77" ht="14.4" customHeight="1" x14ac:dyDescent="0.3">
      <c r="A15" s="8" t="s">
        <v>154</v>
      </c>
      <c r="B15" s="11">
        <v>9.375E-2</v>
      </c>
      <c r="F15" s="8" t="s">
        <v>110</v>
      </c>
      <c r="G15" s="4">
        <v>362</v>
      </c>
      <c r="I15" s="8" t="s">
        <v>154</v>
      </c>
      <c r="J15" s="4">
        <v>20</v>
      </c>
    </row>
    <row r="16" spans="1:77" ht="14.4" customHeight="1" x14ac:dyDescent="0.3">
      <c r="A16" s="8" t="s">
        <v>152</v>
      </c>
      <c r="B16" s="11">
        <v>0.11836962590731435</v>
      </c>
      <c r="F16" s="8" t="s">
        <v>115</v>
      </c>
      <c r="G16" s="4">
        <v>761</v>
      </c>
      <c r="I16" s="8" t="s">
        <v>152</v>
      </c>
      <c r="J16" s="4">
        <v>17</v>
      </c>
    </row>
    <row r="17" spans="1:10" ht="14.4" customHeight="1" x14ac:dyDescent="0.3">
      <c r="A17" s="8" t="s">
        <v>155</v>
      </c>
      <c r="B17" s="11">
        <v>0.11533586818757921</v>
      </c>
      <c r="F17" s="8" t="s">
        <v>123</v>
      </c>
      <c r="G17" s="4">
        <v>522</v>
      </c>
      <c r="I17" s="8" t="s">
        <v>155</v>
      </c>
      <c r="J17" s="4">
        <v>15</v>
      </c>
    </row>
    <row r="18" spans="1:10" ht="14.4" customHeight="1" x14ac:dyDescent="0.3">
      <c r="A18" s="8" t="s">
        <v>153</v>
      </c>
      <c r="B18" s="11">
        <v>0.10822784810126582</v>
      </c>
      <c r="I18" s="8" t="s">
        <v>153</v>
      </c>
      <c r="J18" s="4">
        <v>15</v>
      </c>
    </row>
    <row r="19" spans="1:10" ht="14.4" customHeight="1" x14ac:dyDescent="0.3"/>
    <row r="20" spans="1:10" ht="14.4" customHeight="1" x14ac:dyDescent="0.3"/>
    <row r="21" spans="1:10" ht="14.4" customHeight="1" x14ac:dyDescent="0.3"/>
    <row r="22" spans="1:10" ht="14.4" customHeight="1" x14ac:dyDescent="0.3"/>
    <row r="23" spans="1:10" ht="14.4" customHeight="1" x14ac:dyDescent="0.3"/>
    <row r="24" spans="1:10" ht="14.4" customHeight="1" x14ac:dyDescent="0.3"/>
    <row r="25" spans="1:10" ht="14.4" customHeight="1" x14ac:dyDescent="0.3"/>
    <row r="26" spans="1:10" ht="14.4" customHeight="1" x14ac:dyDescent="0.3"/>
    <row r="27" spans="1:10" ht="14.4" customHeight="1" x14ac:dyDescent="0.3"/>
    <row r="28" spans="1:10" ht="14.4" customHeight="1" x14ac:dyDescent="0.3"/>
    <row r="29" spans="1:10" ht="14.4" customHeight="1" x14ac:dyDescent="0.3"/>
    <row r="30" spans="1:10" ht="14.4" customHeight="1" x14ac:dyDescent="0.3"/>
    <row r="31" spans="1:10" ht="14.4" customHeight="1" x14ac:dyDescent="0.3"/>
    <row r="32" spans="1:10" ht="14.4" customHeight="1" x14ac:dyDescent="0.3"/>
    <row r="33" ht="14.4" customHeight="1" x14ac:dyDescent="0.3"/>
    <row r="34" ht="14.4" customHeight="1" x14ac:dyDescent="0.3"/>
    <row r="35" ht="14.4" customHeight="1" x14ac:dyDescent="0.3"/>
    <row r="36" ht="14.4" customHeight="1" x14ac:dyDescent="0.3"/>
    <row r="37" ht="14.4" customHeight="1" x14ac:dyDescent="0.3"/>
    <row r="38" ht="14.4" customHeight="1" x14ac:dyDescent="0.3"/>
    <row r="39" ht="14.4" customHeight="1" x14ac:dyDescent="0.3"/>
    <row r="40" ht="14.4" customHeight="1" x14ac:dyDescent="0.3"/>
    <row r="41" ht="14.4" customHeight="1" x14ac:dyDescent="0.3"/>
    <row r="42" ht="14.4" customHeight="1" x14ac:dyDescent="0.3"/>
    <row r="43" ht="14.4" customHeight="1" x14ac:dyDescent="0.3"/>
    <row r="44" ht="14.4" customHeight="1" x14ac:dyDescent="0.3"/>
    <row r="45" ht="14.4" customHeight="1" x14ac:dyDescent="0.3"/>
    <row r="46" ht="14.4" customHeight="1" x14ac:dyDescent="0.3"/>
    <row r="47" ht="14.4" customHeight="1" x14ac:dyDescent="0.3"/>
    <row r="48" ht="14.4" customHeight="1" x14ac:dyDescent="0.3"/>
    <row r="49" ht="14.4" customHeight="1" x14ac:dyDescent="0.3"/>
    <row r="50" ht="14.4" customHeight="1" x14ac:dyDescent="0.3"/>
    <row r="51" ht="14.4" customHeight="1" x14ac:dyDescent="0.3"/>
    <row r="52" ht="14.4" customHeight="1" x14ac:dyDescent="0.3"/>
    <row r="53" ht="14.4" customHeight="1" x14ac:dyDescent="0.3"/>
    <row r="54" ht="14.4" customHeight="1" x14ac:dyDescent="0.3"/>
    <row r="55" ht="14.4" customHeight="1" x14ac:dyDescent="0.3"/>
    <row r="56" ht="14.4" customHeight="1" x14ac:dyDescent="0.3"/>
    <row r="57" ht="14.4" customHeight="1" x14ac:dyDescent="0.3"/>
    <row r="58" ht="14.4" customHeight="1" x14ac:dyDescent="0.3"/>
    <row r="59" ht="14.4" customHeight="1" x14ac:dyDescent="0.3"/>
  </sheetData>
  <mergeCells count="7">
    <mergeCell ref="F11:H11"/>
    <mergeCell ref="O2:Q2"/>
    <mergeCell ref="A11:C11"/>
    <mergeCell ref="A2:B2"/>
    <mergeCell ref="C2:E2"/>
    <mergeCell ref="F2:G2"/>
    <mergeCell ref="I2:J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G101"/>
  <sheetViews>
    <sheetView workbookViewId="0">
      <selection activeCell="G1" sqref="G1"/>
    </sheetView>
  </sheetViews>
  <sheetFormatPr defaultRowHeight="14.4" x14ac:dyDescent="0.3"/>
  <cols>
    <col min="1" max="1" width="14.6640625" customWidth="1"/>
    <col min="2" max="2" width="11.6640625" customWidth="1"/>
    <col min="3" max="3" width="14.88671875" customWidth="1"/>
    <col min="4" max="4" width="17.6640625" customWidth="1"/>
    <col min="5" max="5" width="13.6640625" customWidth="1"/>
    <col min="6" max="6" width="15.44140625" customWidth="1"/>
    <col min="7" max="7" width="21.44140625" customWidth="1"/>
  </cols>
  <sheetData>
    <row r="1" spans="1:7" x14ac:dyDescent="0.3">
      <c r="A1" s="1" t="s">
        <v>0</v>
      </c>
      <c r="B1" s="1" t="s">
        <v>1</v>
      </c>
      <c r="C1" s="1" t="s">
        <v>2</v>
      </c>
      <c r="D1" s="1" t="s">
        <v>3</v>
      </c>
      <c r="E1" s="1" t="s">
        <v>4</v>
      </c>
      <c r="F1" s="1" t="s">
        <v>5</v>
      </c>
      <c r="G1" s="1" t="s">
        <v>177</v>
      </c>
    </row>
    <row r="2" spans="1:7" x14ac:dyDescent="0.3">
      <c r="A2" t="s">
        <v>6</v>
      </c>
      <c r="B2" t="s">
        <v>106</v>
      </c>
      <c r="C2" t="s">
        <v>152</v>
      </c>
      <c r="D2">
        <v>111</v>
      </c>
      <c r="E2">
        <v>3</v>
      </c>
      <c r="F2">
        <v>160</v>
      </c>
      <c r="G2" t="s">
        <v>158</v>
      </c>
    </row>
    <row r="3" spans="1:7" x14ac:dyDescent="0.3">
      <c r="A3" t="s">
        <v>7</v>
      </c>
      <c r="B3" t="s">
        <v>107</v>
      </c>
      <c r="C3" t="s">
        <v>153</v>
      </c>
      <c r="D3">
        <v>85</v>
      </c>
      <c r="E3">
        <v>16</v>
      </c>
      <c r="F3">
        <v>140</v>
      </c>
      <c r="G3" t="s">
        <v>159</v>
      </c>
    </row>
    <row r="4" spans="1:7" x14ac:dyDescent="0.3">
      <c r="A4" t="s">
        <v>8</v>
      </c>
      <c r="B4" t="s">
        <v>108</v>
      </c>
      <c r="C4" t="s">
        <v>154</v>
      </c>
      <c r="D4">
        <v>138</v>
      </c>
      <c r="E4">
        <v>6</v>
      </c>
      <c r="F4">
        <v>143</v>
      </c>
      <c r="G4" t="s">
        <v>158</v>
      </c>
    </row>
    <row r="5" spans="1:7" x14ac:dyDescent="0.3">
      <c r="A5" t="s">
        <v>9</v>
      </c>
      <c r="B5" t="s">
        <v>109</v>
      </c>
      <c r="C5" t="s">
        <v>155</v>
      </c>
      <c r="D5">
        <v>65</v>
      </c>
      <c r="E5">
        <v>3</v>
      </c>
      <c r="F5">
        <v>150</v>
      </c>
      <c r="G5" t="s">
        <v>160</v>
      </c>
    </row>
    <row r="6" spans="1:7" x14ac:dyDescent="0.3">
      <c r="A6" t="s">
        <v>10</v>
      </c>
      <c r="B6" t="s">
        <v>110</v>
      </c>
      <c r="C6" t="s">
        <v>156</v>
      </c>
      <c r="D6">
        <v>118</v>
      </c>
      <c r="E6">
        <v>13</v>
      </c>
      <c r="F6">
        <v>188</v>
      </c>
      <c r="G6" t="s">
        <v>160</v>
      </c>
    </row>
    <row r="7" spans="1:7" x14ac:dyDescent="0.3">
      <c r="A7" t="s">
        <v>11</v>
      </c>
      <c r="B7" t="s">
        <v>111</v>
      </c>
      <c r="C7" t="s">
        <v>154</v>
      </c>
      <c r="D7">
        <v>82</v>
      </c>
      <c r="E7">
        <v>7</v>
      </c>
      <c r="F7">
        <v>168</v>
      </c>
      <c r="G7" t="s">
        <v>159</v>
      </c>
    </row>
    <row r="8" spans="1:7" x14ac:dyDescent="0.3">
      <c r="A8" t="s">
        <v>12</v>
      </c>
      <c r="B8" t="s">
        <v>112</v>
      </c>
      <c r="C8" t="s">
        <v>152</v>
      </c>
      <c r="D8">
        <v>141</v>
      </c>
      <c r="E8">
        <v>15</v>
      </c>
      <c r="F8">
        <v>173</v>
      </c>
      <c r="G8" t="s">
        <v>159</v>
      </c>
    </row>
    <row r="9" spans="1:7" x14ac:dyDescent="0.3">
      <c r="A9" t="s">
        <v>13</v>
      </c>
      <c r="B9" t="s">
        <v>113</v>
      </c>
      <c r="C9" t="s">
        <v>153</v>
      </c>
      <c r="D9">
        <v>75</v>
      </c>
      <c r="E9">
        <v>20</v>
      </c>
      <c r="F9">
        <v>146</v>
      </c>
      <c r="G9" t="s">
        <v>160</v>
      </c>
    </row>
    <row r="10" spans="1:7" x14ac:dyDescent="0.3">
      <c r="A10" t="s">
        <v>14</v>
      </c>
      <c r="B10" t="s">
        <v>114</v>
      </c>
      <c r="C10" t="s">
        <v>155</v>
      </c>
      <c r="D10">
        <v>118</v>
      </c>
      <c r="E10">
        <v>10</v>
      </c>
      <c r="F10">
        <v>142</v>
      </c>
      <c r="G10" t="s">
        <v>160</v>
      </c>
    </row>
    <row r="11" spans="1:7" x14ac:dyDescent="0.3">
      <c r="A11" t="s">
        <v>15</v>
      </c>
      <c r="B11" t="s">
        <v>115</v>
      </c>
      <c r="C11" t="s">
        <v>154</v>
      </c>
      <c r="D11">
        <v>64</v>
      </c>
      <c r="E11">
        <v>11</v>
      </c>
      <c r="F11">
        <v>155</v>
      </c>
      <c r="G11" t="s">
        <v>159</v>
      </c>
    </row>
    <row r="12" spans="1:7" x14ac:dyDescent="0.3">
      <c r="A12" t="s">
        <v>16</v>
      </c>
      <c r="B12" t="s">
        <v>106</v>
      </c>
      <c r="C12" t="s">
        <v>153</v>
      </c>
      <c r="D12">
        <v>92</v>
      </c>
      <c r="E12">
        <v>12</v>
      </c>
      <c r="F12">
        <v>175</v>
      </c>
      <c r="G12" t="s">
        <v>159</v>
      </c>
    </row>
    <row r="13" spans="1:7" x14ac:dyDescent="0.3">
      <c r="A13" t="s">
        <v>17</v>
      </c>
      <c r="B13" t="s">
        <v>116</v>
      </c>
      <c r="C13" t="s">
        <v>152</v>
      </c>
      <c r="D13">
        <v>70</v>
      </c>
      <c r="E13">
        <v>14</v>
      </c>
      <c r="F13">
        <v>146</v>
      </c>
      <c r="G13" t="s">
        <v>160</v>
      </c>
    </row>
    <row r="14" spans="1:7" x14ac:dyDescent="0.3">
      <c r="A14" t="s">
        <v>18</v>
      </c>
      <c r="B14" t="s">
        <v>117</v>
      </c>
      <c r="C14" t="s">
        <v>157</v>
      </c>
      <c r="D14">
        <v>65</v>
      </c>
      <c r="E14">
        <v>8</v>
      </c>
      <c r="F14">
        <v>178</v>
      </c>
      <c r="G14" t="s">
        <v>159</v>
      </c>
    </row>
    <row r="15" spans="1:7" x14ac:dyDescent="0.3">
      <c r="A15" t="s">
        <v>19</v>
      </c>
      <c r="B15" t="s">
        <v>118</v>
      </c>
      <c r="C15" t="s">
        <v>154</v>
      </c>
      <c r="D15">
        <v>124</v>
      </c>
      <c r="E15">
        <v>10</v>
      </c>
      <c r="F15">
        <v>158</v>
      </c>
      <c r="G15" t="s">
        <v>160</v>
      </c>
    </row>
    <row r="16" spans="1:7" x14ac:dyDescent="0.3">
      <c r="A16" t="s">
        <v>20</v>
      </c>
      <c r="B16" t="s">
        <v>119</v>
      </c>
      <c r="C16" t="s">
        <v>155</v>
      </c>
      <c r="D16">
        <v>146</v>
      </c>
      <c r="E16">
        <v>7</v>
      </c>
      <c r="F16">
        <v>190</v>
      </c>
      <c r="G16" t="s">
        <v>160</v>
      </c>
    </row>
    <row r="17" spans="1:7" x14ac:dyDescent="0.3">
      <c r="A17" t="s">
        <v>21</v>
      </c>
      <c r="B17" t="s">
        <v>120</v>
      </c>
      <c r="C17" t="s">
        <v>156</v>
      </c>
      <c r="D17">
        <v>157</v>
      </c>
      <c r="E17">
        <v>19</v>
      </c>
      <c r="F17">
        <v>190</v>
      </c>
      <c r="G17" t="s">
        <v>158</v>
      </c>
    </row>
    <row r="18" spans="1:7" x14ac:dyDescent="0.3">
      <c r="A18" t="s">
        <v>22</v>
      </c>
      <c r="B18" t="s">
        <v>121</v>
      </c>
      <c r="C18" t="s">
        <v>156</v>
      </c>
      <c r="D18">
        <v>61</v>
      </c>
      <c r="E18">
        <v>6</v>
      </c>
      <c r="F18">
        <v>183</v>
      </c>
      <c r="G18" t="s">
        <v>160</v>
      </c>
    </row>
    <row r="19" spans="1:7" x14ac:dyDescent="0.3">
      <c r="A19" t="s">
        <v>23</v>
      </c>
      <c r="B19" t="s">
        <v>110</v>
      </c>
      <c r="C19" t="s">
        <v>152</v>
      </c>
      <c r="D19">
        <v>125</v>
      </c>
      <c r="E19">
        <v>14</v>
      </c>
      <c r="F19">
        <v>160</v>
      </c>
      <c r="G19" t="s">
        <v>160</v>
      </c>
    </row>
    <row r="20" spans="1:7" x14ac:dyDescent="0.3">
      <c r="A20" t="s">
        <v>24</v>
      </c>
      <c r="B20" t="s">
        <v>122</v>
      </c>
      <c r="C20" t="s">
        <v>153</v>
      </c>
      <c r="D20">
        <v>130</v>
      </c>
      <c r="E20">
        <v>4</v>
      </c>
      <c r="F20">
        <v>149</v>
      </c>
      <c r="G20" t="s">
        <v>159</v>
      </c>
    </row>
    <row r="21" spans="1:7" x14ac:dyDescent="0.3">
      <c r="A21" t="s">
        <v>25</v>
      </c>
      <c r="B21" t="s">
        <v>123</v>
      </c>
      <c r="C21" t="s">
        <v>152</v>
      </c>
      <c r="D21">
        <v>137</v>
      </c>
      <c r="E21">
        <v>20</v>
      </c>
      <c r="F21">
        <v>146</v>
      </c>
      <c r="G21" t="s">
        <v>159</v>
      </c>
    </row>
    <row r="22" spans="1:7" x14ac:dyDescent="0.3">
      <c r="A22" t="s">
        <v>26</v>
      </c>
      <c r="B22" t="s">
        <v>124</v>
      </c>
      <c r="C22" t="s">
        <v>155</v>
      </c>
      <c r="D22">
        <v>74</v>
      </c>
      <c r="E22">
        <v>17</v>
      </c>
      <c r="F22">
        <v>169</v>
      </c>
      <c r="G22" t="s">
        <v>158</v>
      </c>
    </row>
    <row r="23" spans="1:7" x14ac:dyDescent="0.3">
      <c r="A23" t="s">
        <v>27</v>
      </c>
      <c r="B23" t="s">
        <v>125</v>
      </c>
      <c r="C23" t="s">
        <v>154</v>
      </c>
      <c r="D23">
        <v>115</v>
      </c>
      <c r="E23">
        <v>12</v>
      </c>
      <c r="F23">
        <v>160</v>
      </c>
      <c r="G23" t="s">
        <v>159</v>
      </c>
    </row>
    <row r="24" spans="1:7" x14ac:dyDescent="0.3">
      <c r="A24" t="s">
        <v>28</v>
      </c>
      <c r="B24" t="s">
        <v>123</v>
      </c>
      <c r="C24" t="s">
        <v>152</v>
      </c>
      <c r="D24">
        <v>92</v>
      </c>
      <c r="E24">
        <v>18</v>
      </c>
      <c r="F24">
        <v>188</v>
      </c>
      <c r="G24" t="s">
        <v>160</v>
      </c>
    </row>
    <row r="25" spans="1:7" x14ac:dyDescent="0.3">
      <c r="A25" t="s">
        <v>29</v>
      </c>
      <c r="B25" t="s">
        <v>126</v>
      </c>
      <c r="C25" t="s">
        <v>156</v>
      </c>
      <c r="D25">
        <v>123</v>
      </c>
      <c r="E25">
        <v>5</v>
      </c>
      <c r="F25">
        <v>183</v>
      </c>
      <c r="G25" t="s">
        <v>160</v>
      </c>
    </row>
    <row r="26" spans="1:7" x14ac:dyDescent="0.3">
      <c r="A26" t="s">
        <v>30</v>
      </c>
      <c r="B26" t="s">
        <v>123</v>
      </c>
      <c r="C26" t="s">
        <v>154</v>
      </c>
      <c r="D26">
        <v>160</v>
      </c>
      <c r="E26">
        <v>3</v>
      </c>
      <c r="F26">
        <v>141</v>
      </c>
      <c r="G26" t="s">
        <v>159</v>
      </c>
    </row>
    <row r="27" spans="1:7" x14ac:dyDescent="0.3">
      <c r="A27" t="s">
        <v>31</v>
      </c>
      <c r="B27" t="s">
        <v>127</v>
      </c>
      <c r="C27" t="s">
        <v>156</v>
      </c>
      <c r="D27">
        <v>95</v>
      </c>
      <c r="E27">
        <v>11</v>
      </c>
      <c r="F27">
        <v>146</v>
      </c>
      <c r="G27" t="s">
        <v>160</v>
      </c>
    </row>
    <row r="28" spans="1:7" x14ac:dyDescent="0.3">
      <c r="A28" t="s">
        <v>32</v>
      </c>
      <c r="B28" t="s">
        <v>128</v>
      </c>
      <c r="C28" t="s">
        <v>154</v>
      </c>
      <c r="D28">
        <v>136</v>
      </c>
      <c r="E28">
        <v>14</v>
      </c>
      <c r="F28">
        <v>185</v>
      </c>
      <c r="G28" t="s">
        <v>158</v>
      </c>
    </row>
    <row r="29" spans="1:7" x14ac:dyDescent="0.3">
      <c r="A29" t="s">
        <v>33</v>
      </c>
      <c r="B29" t="s">
        <v>119</v>
      </c>
      <c r="C29" t="s">
        <v>157</v>
      </c>
      <c r="D29">
        <v>86</v>
      </c>
      <c r="E29">
        <v>13</v>
      </c>
      <c r="F29">
        <v>180</v>
      </c>
      <c r="G29" t="s">
        <v>158</v>
      </c>
    </row>
    <row r="30" spans="1:7" x14ac:dyDescent="0.3">
      <c r="A30" t="s">
        <v>34</v>
      </c>
      <c r="B30" t="s">
        <v>128</v>
      </c>
      <c r="C30" t="s">
        <v>157</v>
      </c>
      <c r="D30">
        <v>96</v>
      </c>
      <c r="E30">
        <v>3</v>
      </c>
      <c r="F30">
        <v>189</v>
      </c>
      <c r="G30" t="s">
        <v>159</v>
      </c>
    </row>
    <row r="31" spans="1:7" x14ac:dyDescent="0.3">
      <c r="A31" t="s">
        <v>35</v>
      </c>
      <c r="B31" t="s">
        <v>122</v>
      </c>
      <c r="C31" t="s">
        <v>154</v>
      </c>
      <c r="D31">
        <v>100</v>
      </c>
      <c r="E31">
        <v>9</v>
      </c>
      <c r="F31">
        <v>153</v>
      </c>
      <c r="G31" t="s">
        <v>159</v>
      </c>
    </row>
    <row r="32" spans="1:7" x14ac:dyDescent="0.3">
      <c r="A32" t="s">
        <v>36</v>
      </c>
      <c r="B32" t="s">
        <v>110</v>
      </c>
      <c r="C32" t="s">
        <v>152</v>
      </c>
      <c r="D32">
        <v>119</v>
      </c>
      <c r="E32">
        <v>12</v>
      </c>
      <c r="F32">
        <v>173</v>
      </c>
      <c r="G32" t="s">
        <v>158</v>
      </c>
    </row>
    <row r="33" spans="1:7" x14ac:dyDescent="0.3">
      <c r="A33" t="s">
        <v>37</v>
      </c>
      <c r="B33" t="s">
        <v>129</v>
      </c>
      <c r="C33" t="s">
        <v>156</v>
      </c>
      <c r="D33">
        <v>148</v>
      </c>
      <c r="E33">
        <v>12</v>
      </c>
      <c r="F33">
        <v>167</v>
      </c>
      <c r="G33" t="s">
        <v>159</v>
      </c>
    </row>
    <row r="34" spans="1:7" x14ac:dyDescent="0.3">
      <c r="A34" t="s">
        <v>38</v>
      </c>
      <c r="B34" t="s">
        <v>124</v>
      </c>
      <c r="C34" t="s">
        <v>153</v>
      </c>
      <c r="D34">
        <v>103</v>
      </c>
      <c r="E34">
        <v>9</v>
      </c>
      <c r="F34">
        <v>186</v>
      </c>
      <c r="G34" t="s">
        <v>159</v>
      </c>
    </row>
    <row r="35" spans="1:7" x14ac:dyDescent="0.3">
      <c r="A35" t="s">
        <v>39</v>
      </c>
      <c r="B35" t="s">
        <v>130</v>
      </c>
      <c r="C35" t="s">
        <v>154</v>
      </c>
      <c r="D35">
        <v>130</v>
      </c>
      <c r="E35">
        <v>15</v>
      </c>
      <c r="F35">
        <v>178</v>
      </c>
      <c r="G35" t="s">
        <v>158</v>
      </c>
    </row>
    <row r="36" spans="1:7" x14ac:dyDescent="0.3">
      <c r="A36" t="s">
        <v>40</v>
      </c>
      <c r="B36" t="s">
        <v>131</v>
      </c>
      <c r="C36" t="s">
        <v>154</v>
      </c>
      <c r="D36">
        <v>114</v>
      </c>
      <c r="E36">
        <v>11</v>
      </c>
      <c r="F36">
        <v>156</v>
      </c>
      <c r="G36" t="s">
        <v>159</v>
      </c>
    </row>
    <row r="37" spans="1:7" x14ac:dyDescent="0.3">
      <c r="A37" t="s">
        <v>41</v>
      </c>
      <c r="B37" t="s">
        <v>132</v>
      </c>
      <c r="C37" t="s">
        <v>157</v>
      </c>
      <c r="D37">
        <v>141</v>
      </c>
      <c r="E37">
        <v>6</v>
      </c>
      <c r="F37">
        <v>164</v>
      </c>
      <c r="G37" t="s">
        <v>158</v>
      </c>
    </row>
    <row r="38" spans="1:7" x14ac:dyDescent="0.3">
      <c r="A38" t="s">
        <v>42</v>
      </c>
      <c r="B38" t="s">
        <v>115</v>
      </c>
      <c r="C38" t="s">
        <v>156</v>
      </c>
      <c r="D38">
        <v>63</v>
      </c>
      <c r="E38">
        <v>3</v>
      </c>
      <c r="F38">
        <v>164</v>
      </c>
      <c r="G38" t="s">
        <v>160</v>
      </c>
    </row>
    <row r="39" spans="1:7" x14ac:dyDescent="0.3">
      <c r="A39" t="s">
        <v>43</v>
      </c>
      <c r="B39" t="s">
        <v>129</v>
      </c>
      <c r="C39" t="s">
        <v>155</v>
      </c>
      <c r="D39">
        <v>113</v>
      </c>
      <c r="E39">
        <v>16</v>
      </c>
      <c r="F39">
        <v>147</v>
      </c>
      <c r="G39" t="s">
        <v>158</v>
      </c>
    </row>
    <row r="40" spans="1:7" x14ac:dyDescent="0.3">
      <c r="A40" t="s">
        <v>44</v>
      </c>
      <c r="B40" t="s">
        <v>114</v>
      </c>
      <c r="C40" t="s">
        <v>157</v>
      </c>
      <c r="D40">
        <v>63</v>
      </c>
      <c r="E40">
        <v>4</v>
      </c>
      <c r="F40">
        <v>151</v>
      </c>
      <c r="G40" t="s">
        <v>158</v>
      </c>
    </row>
    <row r="41" spans="1:7" x14ac:dyDescent="0.3">
      <c r="A41" t="s">
        <v>45</v>
      </c>
      <c r="B41" t="s">
        <v>133</v>
      </c>
      <c r="C41" t="s">
        <v>154</v>
      </c>
      <c r="D41">
        <v>135</v>
      </c>
      <c r="E41">
        <v>16</v>
      </c>
      <c r="F41">
        <v>175</v>
      </c>
      <c r="G41" t="s">
        <v>158</v>
      </c>
    </row>
    <row r="42" spans="1:7" x14ac:dyDescent="0.3">
      <c r="A42" t="s">
        <v>46</v>
      </c>
      <c r="B42" t="s">
        <v>134</v>
      </c>
      <c r="C42" t="s">
        <v>153</v>
      </c>
      <c r="D42">
        <v>67</v>
      </c>
      <c r="E42">
        <v>12</v>
      </c>
      <c r="F42">
        <v>189</v>
      </c>
      <c r="G42" t="s">
        <v>159</v>
      </c>
    </row>
    <row r="43" spans="1:7" x14ac:dyDescent="0.3">
      <c r="A43" t="s">
        <v>47</v>
      </c>
      <c r="B43" t="s">
        <v>135</v>
      </c>
      <c r="C43" t="s">
        <v>152</v>
      </c>
      <c r="D43">
        <v>75</v>
      </c>
      <c r="E43">
        <v>19</v>
      </c>
      <c r="F43">
        <v>160</v>
      </c>
      <c r="G43" t="s">
        <v>159</v>
      </c>
    </row>
    <row r="44" spans="1:7" x14ac:dyDescent="0.3">
      <c r="A44" t="s">
        <v>48</v>
      </c>
      <c r="B44" t="s">
        <v>106</v>
      </c>
      <c r="C44" t="s">
        <v>157</v>
      </c>
      <c r="D44">
        <v>80</v>
      </c>
      <c r="E44">
        <v>20</v>
      </c>
      <c r="F44">
        <v>161</v>
      </c>
      <c r="G44" t="s">
        <v>158</v>
      </c>
    </row>
    <row r="45" spans="1:7" x14ac:dyDescent="0.3">
      <c r="A45" t="s">
        <v>49</v>
      </c>
      <c r="B45" t="s">
        <v>135</v>
      </c>
      <c r="C45" t="s">
        <v>152</v>
      </c>
      <c r="D45">
        <v>116</v>
      </c>
      <c r="E45">
        <v>10</v>
      </c>
      <c r="F45">
        <v>183</v>
      </c>
      <c r="G45" t="s">
        <v>159</v>
      </c>
    </row>
    <row r="46" spans="1:7" x14ac:dyDescent="0.3">
      <c r="A46" t="s">
        <v>50</v>
      </c>
      <c r="B46" t="s">
        <v>136</v>
      </c>
      <c r="C46" t="s">
        <v>154</v>
      </c>
      <c r="D46">
        <v>134</v>
      </c>
      <c r="E46">
        <v>17</v>
      </c>
      <c r="F46">
        <v>148</v>
      </c>
      <c r="G46" t="s">
        <v>160</v>
      </c>
    </row>
    <row r="47" spans="1:7" x14ac:dyDescent="0.3">
      <c r="A47" t="s">
        <v>51</v>
      </c>
      <c r="B47" t="s">
        <v>115</v>
      </c>
      <c r="C47" t="s">
        <v>156</v>
      </c>
      <c r="D47">
        <v>141</v>
      </c>
      <c r="E47">
        <v>13</v>
      </c>
      <c r="F47">
        <v>165</v>
      </c>
      <c r="G47" t="s">
        <v>159</v>
      </c>
    </row>
    <row r="48" spans="1:7" x14ac:dyDescent="0.3">
      <c r="A48" t="s">
        <v>52</v>
      </c>
      <c r="B48" t="s">
        <v>137</v>
      </c>
      <c r="C48" t="s">
        <v>155</v>
      </c>
      <c r="D48">
        <v>104</v>
      </c>
      <c r="E48">
        <v>9</v>
      </c>
      <c r="F48">
        <v>178</v>
      </c>
      <c r="G48" t="s">
        <v>159</v>
      </c>
    </row>
    <row r="49" spans="1:7" x14ac:dyDescent="0.3">
      <c r="A49" t="s">
        <v>53</v>
      </c>
      <c r="B49" t="s">
        <v>131</v>
      </c>
      <c r="C49" t="s">
        <v>155</v>
      </c>
      <c r="D49">
        <v>78</v>
      </c>
      <c r="E49">
        <v>10</v>
      </c>
      <c r="F49">
        <v>188</v>
      </c>
      <c r="G49" t="s">
        <v>160</v>
      </c>
    </row>
    <row r="50" spans="1:7" x14ac:dyDescent="0.3">
      <c r="A50" t="s">
        <v>54</v>
      </c>
      <c r="B50" t="s">
        <v>138</v>
      </c>
      <c r="C50" t="s">
        <v>156</v>
      </c>
      <c r="D50">
        <v>137</v>
      </c>
      <c r="E50">
        <v>7</v>
      </c>
      <c r="F50">
        <v>143</v>
      </c>
      <c r="G50" t="s">
        <v>158</v>
      </c>
    </row>
    <row r="51" spans="1:7" x14ac:dyDescent="0.3">
      <c r="A51" t="s">
        <v>55</v>
      </c>
      <c r="B51" t="s">
        <v>139</v>
      </c>
      <c r="C51" t="s">
        <v>154</v>
      </c>
      <c r="D51">
        <v>131</v>
      </c>
      <c r="E51">
        <v>19</v>
      </c>
      <c r="F51">
        <v>145</v>
      </c>
      <c r="G51" t="s">
        <v>158</v>
      </c>
    </row>
    <row r="52" spans="1:7" x14ac:dyDescent="0.3">
      <c r="A52" t="s">
        <v>56</v>
      </c>
      <c r="B52" t="s">
        <v>140</v>
      </c>
      <c r="C52" t="s">
        <v>156</v>
      </c>
      <c r="D52">
        <v>66</v>
      </c>
      <c r="E52">
        <v>8</v>
      </c>
      <c r="F52">
        <v>144</v>
      </c>
      <c r="G52" t="s">
        <v>158</v>
      </c>
    </row>
    <row r="53" spans="1:7" x14ac:dyDescent="0.3">
      <c r="A53" t="s">
        <v>57</v>
      </c>
      <c r="B53" t="s">
        <v>118</v>
      </c>
      <c r="C53" t="s">
        <v>156</v>
      </c>
      <c r="D53">
        <v>147</v>
      </c>
      <c r="E53">
        <v>12</v>
      </c>
      <c r="F53">
        <v>185</v>
      </c>
      <c r="G53" t="s">
        <v>159</v>
      </c>
    </row>
    <row r="54" spans="1:7" x14ac:dyDescent="0.3">
      <c r="A54" t="s">
        <v>58</v>
      </c>
      <c r="B54" t="s">
        <v>141</v>
      </c>
      <c r="C54" t="s">
        <v>157</v>
      </c>
      <c r="D54">
        <v>80</v>
      </c>
      <c r="E54">
        <v>4</v>
      </c>
      <c r="F54">
        <v>185</v>
      </c>
      <c r="G54" t="s">
        <v>160</v>
      </c>
    </row>
    <row r="55" spans="1:7" x14ac:dyDescent="0.3">
      <c r="A55" t="s">
        <v>59</v>
      </c>
      <c r="B55" t="s">
        <v>112</v>
      </c>
      <c r="C55" t="s">
        <v>152</v>
      </c>
      <c r="D55">
        <v>72</v>
      </c>
      <c r="E55">
        <v>12</v>
      </c>
      <c r="F55">
        <v>148</v>
      </c>
      <c r="G55" t="s">
        <v>160</v>
      </c>
    </row>
    <row r="56" spans="1:7" x14ac:dyDescent="0.3">
      <c r="A56" t="s">
        <v>60</v>
      </c>
      <c r="B56" t="s">
        <v>116</v>
      </c>
      <c r="C56" t="s">
        <v>152</v>
      </c>
      <c r="D56">
        <v>75</v>
      </c>
      <c r="E56">
        <v>7</v>
      </c>
      <c r="F56">
        <v>183</v>
      </c>
      <c r="G56" t="s">
        <v>160</v>
      </c>
    </row>
    <row r="57" spans="1:7" x14ac:dyDescent="0.3">
      <c r="A57" t="s">
        <v>61</v>
      </c>
      <c r="B57" t="s">
        <v>115</v>
      </c>
      <c r="C57" t="s">
        <v>153</v>
      </c>
      <c r="D57">
        <v>107</v>
      </c>
      <c r="E57">
        <v>11</v>
      </c>
      <c r="F57">
        <v>157</v>
      </c>
      <c r="G57" t="s">
        <v>159</v>
      </c>
    </row>
    <row r="58" spans="1:7" x14ac:dyDescent="0.3">
      <c r="A58" t="s">
        <v>62</v>
      </c>
      <c r="B58" t="s">
        <v>115</v>
      </c>
      <c r="C58" t="s">
        <v>157</v>
      </c>
      <c r="D58">
        <v>142</v>
      </c>
      <c r="E58">
        <v>8</v>
      </c>
      <c r="F58">
        <v>167</v>
      </c>
      <c r="G58" t="s">
        <v>158</v>
      </c>
    </row>
    <row r="59" spans="1:7" x14ac:dyDescent="0.3">
      <c r="A59" t="s">
        <v>63</v>
      </c>
      <c r="B59" t="s">
        <v>142</v>
      </c>
      <c r="C59" t="s">
        <v>154</v>
      </c>
      <c r="D59">
        <v>137</v>
      </c>
      <c r="E59">
        <v>5</v>
      </c>
      <c r="F59">
        <v>183</v>
      </c>
      <c r="G59" t="s">
        <v>160</v>
      </c>
    </row>
    <row r="60" spans="1:7" x14ac:dyDescent="0.3">
      <c r="A60" t="s">
        <v>64</v>
      </c>
      <c r="B60" t="s">
        <v>143</v>
      </c>
      <c r="C60" t="s">
        <v>155</v>
      </c>
      <c r="D60">
        <v>79</v>
      </c>
      <c r="E60">
        <v>12</v>
      </c>
      <c r="F60">
        <v>145</v>
      </c>
      <c r="G60" t="s">
        <v>160</v>
      </c>
    </row>
    <row r="61" spans="1:7" x14ac:dyDescent="0.3">
      <c r="A61" t="s">
        <v>65</v>
      </c>
      <c r="B61" t="s">
        <v>144</v>
      </c>
      <c r="C61" t="s">
        <v>155</v>
      </c>
      <c r="D61">
        <v>109</v>
      </c>
      <c r="E61">
        <v>9</v>
      </c>
      <c r="F61">
        <v>151</v>
      </c>
      <c r="G61" t="s">
        <v>160</v>
      </c>
    </row>
    <row r="62" spans="1:7" x14ac:dyDescent="0.3">
      <c r="A62" t="s">
        <v>66</v>
      </c>
      <c r="B62" t="s">
        <v>145</v>
      </c>
      <c r="C62" t="s">
        <v>153</v>
      </c>
      <c r="D62">
        <v>61</v>
      </c>
      <c r="E62">
        <v>4</v>
      </c>
      <c r="F62">
        <v>153</v>
      </c>
      <c r="G62" t="s">
        <v>160</v>
      </c>
    </row>
    <row r="63" spans="1:7" x14ac:dyDescent="0.3">
      <c r="A63" t="s">
        <v>67</v>
      </c>
      <c r="B63" t="s">
        <v>113</v>
      </c>
      <c r="C63" t="s">
        <v>153</v>
      </c>
      <c r="D63">
        <v>145</v>
      </c>
      <c r="E63">
        <v>20</v>
      </c>
      <c r="F63">
        <v>190</v>
      </c>
      <c r="G63" t="s">
        <v>160</v>
      </c>
    </row>
    <row r="64" spans="1:7" x14ac:dyDescent="0.3">
      <c r="A64" t="s">
        <v>68</v>
      </c>
      <c r="B64" t="s">
        <v>108</v>
      </c>
      <c r="C64" t="s">
        <v>155</v>
      </c>
      <c r="D64">
        <v>104</v>
      </c>
      <c r="E64">
        <v>19</v>
      </c>
      <c r="F64">
        <v>155</v>
      </c>
      <c r="G64" t="s">
        <v>158</v>
      </c>
    </row>
    <row r="65" spans="1:7" x14ac:dyDescent="0.3">
      <c r="A65" t="s">
        <v>69</v>
      </c>
      <c r="B65" t="s">
        <v>139</v>
      </c>
      <c r="C65" t="s">
        <v>156</v>
      </c>
      <c r="D65">
        <v>148</v>
      </c>
      <c r="E65">
        <v>14</v>
      </c>
      <c r="F65">
        <v>166</v>
      </c>
      <c r="G65" t="s">
        <v>159</v>
      </c>
    </row>
    <row r="66" spans="1:7" x14ac:dyDescent="0.3">
      <c r="A66" t="s">
        <v>70</v>
      </c>
      <c r="B66" t="s">
        <v>146</v>
      </c>
      <c r="C66" t="s">
        <v>154</v>
      </c>
      <c r="D66">
        <v>148</v>
      </c>
      <c r="E66">
        <v>9</v>
      </c>
      <c r="F66">
        <v>165</v>
      </c>
      <c r="G66" t="s">
        <v>160</v>
      </c>
    </row>
    <row r="67" spans="1:7" x14ac:dyDescent="0.3">
      <c r="A67" t="s">
        <v>71</v>
      </c>
      <c r="B67" t="s">
        <v>129</v>
      </c>
      <c r="C67" t="s">
        <v>153</v>
      </c>
      <c r="D67">
        <v>74</v>
      </c>
      <c r="E67">
        <v>17</v>
      </c>
      <c r="F67">
        <v>147</v>
      </c>
      <c r="G67" t="s">
        <v>160</v>
      </c>
    </row>
    <row r="68" spans="1:7" x14ac:dyDescent="0.3">
      <c r="A68" t="s">
        <v>72</v>
      </c>
      <c r="B68" t="s">
        <v>113</v>
      </c>
      <c r="C68" t="s">
        <v>155</v>
      </c>
      <c r="D68">
        <v>116</v>
      </c>
      <c r="E68">
        <v>14</v>
      </c>
      <c r="F68">
        <v>168</v>
      </c>
      <c r="G68" t="s">
        <v>160</v>
      </c>
    </row>
    <row r="69" spans="1:7" x14ac:dyDescent="0.3">
      <c r="A69" t="s">
        <v>73</v>
      </c>
      <c r="B69" t="s">
        <v>123</v>
      </c>
      <c r="C69" t="s">
        <v>157</v>
      </c>
      <c r="D69">
        <v>133</v>
      </c>
      <c r="E69">
        <v>15</v>
      </c>
      <c r="F69">
        <v>156</v>
      </c>
      <c r="G69" t="s">
        <v>159</v>
      </c>
    </row>
    <row r="70" spans="1:7" x14ac:dyDescent="0.3">
      <c r="A70" t="s">
        <v>74</v>
      </c>
      <c r="B70" t="s">
        <v>107</v>
      </c>
      <c r="C70" t="s">
        <v>156</v>
      </c>
      <c r="D70">
        <v>92</v>
      </c>
      <c r="E70">
        <v>4</v>
      </c>
      <c r="F70">
        <v>188</v>
      </c>
      <c r="G70" t="s">
        <v>159</v>
      </c>
    </row>
    <row r="71" spans="1:7" x14ac:dyDescent="0.3">
      <c r="A71" t="s">
        <v>75</v>
      </c>
      <c r="B71" t="s">
        <v>133</v>
      </c>
      <c r="C71" t="s">
        <v>157</v>
      </c>
      <c r="D71">
        <v>117</v>
      </c>
      <c r="E71">
        <v>12</v>
      </c>
      <c r="F71">
        <v>176</v>
      </c>
      <c r="G71" t="s">
        <v>158</v>
      </c>
    </row>
    <row r="72" spans="1:7" x14ac:dyDescent="0.3">
      <c r="A72" t="s">
        <v>76</v>
      </c>
      <c r="B72" t="s">
        <v>115</v>
      </c>
      <c r="C72" t="s">
        <v>152</v>
      </c>
      <c r="D72">
        <v>99</v>
      </c>
      <c r="E72">
        <v>9</v>
      </c>
      <c r="F72">
        <v>160</v>
      </c>
      <c r="G72" t="s">
        <v>158</v>
      </c>
    </row>
    <row r="73" spans="1:7" x14ac:dyDescent="0.3">
      <c r="A73" t="s">
        <v>77</v>
      </c>
      <c r="B73" t="s">
        <v>116</v>
      </c>
      <c r="C73" t="s">
        <v>154</v>
      </c>
      <c r="D73">
        <v>103</v>
      </c>
      <c r="E73">
        <v>11</v>
      </c>
      <c r="F73">
        <v>142</v>
      </c>
      <c r="G73" t="s">
        <v>158</v>
      </c>
    </row>
    <row r="74" spans="1:7" x14ac:dyDescent="0.3">
      <c r="A74" t="s">
        <v>78</v>
      </c>
      <c r="B74" t="s">
        <v>122</v>
      </c>
      <c r="C74" t="s">
        <v>156</v>
      </c>
      <c r="D74">
        <v>93</v>
      </c>
      <c r="E74">
        <v>11</v>
      </c>
      <c r="F74">
        <v>145</v>
      </c>
      <c r="G74" t="s">
        <v>159</v>
      </c>
    </row>
    <row r="75" spans="1:7" x14ac:dyDescent="0.3">
      <c r="A75" t="s">
        <v>79</v>
      </c>
      <c r="B75" t="s">
        <v>134</v>
      </c>
      <c r="C75" t="s">
        <v>152</v>
      </c>
      <c r="D75">
        <v>102</v>
      </c>
      <c r="E75">
        <v>14</v>
      </c>
      <c r="F75">
        <v>169</v>
      </c>
      <c r="G75" t="s">
        <v>158</v>
      </c>
    </row>
    <row r="76" spans="1:7" x14ac:dyDescent="0.3">
      <c r="A76" t="s">
        <v>80</v>
      </c>
      <c r="B76" t="s">
        <v>147</v>
      </c>
      <c r="C76" t="s">
        <v>155</v>
      </c>
      <c r="D76">
        <v>153</v>
      </c>
      <c r="E76">
        <v>20</v>
      </c>
      <c r="F76">
        <v>179</v>
      </c>
      <c r="G76" t="s">
        <v>159</v>
      </c>
    </row>
    <row r="77" spans="1:7" x14ac:dyDescent="0.3">
      <c r="A77" t="s">
        <v>81</v>
      </c>
      <c r="B77" t="s">
        <v>146</v>
      </c>
      <c r="C77" t="s">
        <v>152</v>
      </c>
      <c r="D77">
        <v>157</v>
      </c>
      <c r="E77">
        <v>3</v>
      </c>
      <c r="F77">
        <v>175</v>
      </c>
      <c r="G77" t="s">
        <v>160</v>
      </c>
    </row>
    <row r="78" spans="1:7" x14ac:dyDescent="0.3">
      <c r="A78" t="s">
        <v>82</v>
      </c>
      <c r="B78" t="s">
        <v>148</v>
      </c>
      <c r="C78" t="s">
        <v>154</v>
      </c>
      <c r="D78">
        <v>141</v>
      </c>
      <c r="E78">
        <v>4</v>
      </c>
      <c r="F78">
        <v>145</v>
      </c>
      <c r="G78" t="s">
        <v>158</v>
      </c>
    </row>
    <row r="79" spans="1:7" x14ac:dyDescent="0.3">
      <c r="A79" t="s">
        <v>83</v>
      </c>
      <c r="B79" t="s">
        <v>108</v>
      </c>
      <c r="C79" t="s">
        <v>153</v>
      </c>
      <c r="D79">
        <v>72</v>
      </c>
      <c r="E79">
        <v>14</v>
      </c>
      <c r="F79">
        <v>182</v>
      </c>
      <c r="G79" t="s">
        <v>158</v>
      </c>
    </row>
    <row r="80" spans="1:7" x14ac:dyDescent="0.3">
      <c r="A80" t="s">
        <v>84</v>
      </c>
      <c r="B80" t="s">
        <v>147</v>
      </c>
      <c r="C80" t="s">
        <v>154</v>
      </c>
      <c r="D80">
        <v>76</v>
      </c>
      <c r="E80">
        <v>16</v>
      </c>
      <c r="F80">
        <v>153</v>
      </c>
      <c r="G80" t="s">
        <v>160</v>
      </c>
    </row>
    <row r="81" spans="1:7" x14ac:dyDescent="0.3">
      <c r="A81" t="s">
        <v>85</v>
      </c>
      <c r="B81" t="s">
        <v>107</v>
      </c>
      <c r="C81" t="s">
        <v>154</v>
      </c>
      <c r="D81">
        <v>160</v>
      </c>
      <c r="E81">
        <v>17</v>
      </c>
      <c r="F81">
        <v>149</v>
      </c>
      <c r="G81" t="s">
        <v>159</v>
      </c>
    </row>
    <row r="82" spans="1:7" x14ac:dyDescent="0.3">
      <c r="A82" t="s">
        <v>86</v>
      </c>
      <c r="B82" t="s">
        <v>142</v>
      </c>
      <c r="C82" t="s">
        <v>157</v>
      </c>
      <c r="D82">
        <v>75</v>
      </c>
      <c r="E82">
        <v>18</v>
      </c>
      <c r="F82">
        <v>187</v>
      </c>
      <c r="G82" t="s">
        <v>160</v>
      </c>
    </row>
    <row r="83" spans="1:7" x14ac:dyDescent="0.3">
      <c r="A83" t="s">
        <v>87</v>
      </c>
      <c r="B83" t="s">
        <v>149</v>
      </c>
      <c r="C83" t="s">
        <v>156</v>
      </c>
      <c r="D83">
        <v>88</v>
      </c>
      <c r="E83">
        <v>9</v>
      </c>
      <c r="F83">
        <v>190</v>
      </c>
      <c r="G83" t="s">
        <v>160</v>
      </c>
    </row>
    <row r="84" spans="1:7" x14ac:dyDescent="0.3">
      <c r="A84" t="s">
        <v>88</v>
      </c>
      <c r="B84" t="s">
        <v>130</v>
      </c>
      <c r="C84" t="s">
        <v>156</v>
      </c>
      <c r="D84">
        <v>70</v>
      </c>
      <c r="E84">
        <v>10</v>
      </c>
      <c r="F84">
        <v>180</v>
      </c>
      <c r="G84" t="s">
        <v>160</v>
      </c>
    </row>
    <row r="85" spans="1:7" x14ac:dyDescent="0.3">
      <c r="A85" t="s">
        <v>89</v>
      </c>
      <c r="B85" t="s">
        <v>117</v>
      </c>
      <c r="C85" t="s">
        <v>155</v>
      </c>
      <c r="D85">
        <v>114</v>
      </c>
      <c r="E85">
        <v>6</v>
      </c>
      <c r="F85">
        <v>166</v>
      </c>
      <c r="G85" t="s">
        <v>158</v>
      </c>
    </row>
    <row r="86" spans="1:7" x14ac:dyDescent="0.3">
      <c r="A86" t="s">
        <v>90</v>
      </c>
      <c r="B86" t="s">
        <v>127</v>
      </c>
      <c r="C86" t="s">
        <v>153</v>
      </c>
      <c r="D86">
        <v>127</v>
      </c>
      <c r="E86">
        <v>4</v>
      </c>
      <c r="F86">
        <v>169</v>
      </c>
      <c r="G86" t="s">
        <v>158</v>
      </c>
    </row>
    <row r="87" spans="1:7" x14ac:dyDescent="0.3">
      <c r="A87" t="s">
        <v>91</v>
      </c>
      <c r="B87" t="s">
        <v>127</v>
      </c>
      <c r="C87" t="s">
        <v>157</v>
      </c>
      <c r="D87">
        <v>74</v>
      </c>
      <c r="E87">
        <v>9</v>
      </c>
      <c r="F87">
        <v>185</v>
      </c>
      <c r="G87" t="s">
        <v>159</v>
      </c>
    </row>
    <row r="88" spans="1:7" x14ac:dyDescent="0.3">
      <c r="A88" t="s">
        <v>92</v>
      </c>
      <c r="B88" t="s">
        <v>119</v>
      </c>
      <c r="C88" t="s">
        <v>156</v>
      </c>
      <c r="D88">
        <v>156</v>
      </c>
      <c r="E88">
        <v>8</v>
      </c>
      <c r="F88">
        <v>188</v>
      </c>
      <c r="G88" t="s">
        <v>159</v>
      </c>
    </row>
    <row r="89" spans="1:7" x14ac:dyDescent="0.3">
      <c r="A89" t="s">
        <v>93</v>
      </c>
      <c r="B89" t="s">
        <v>145</v>
      </c>
      <c r="C89" t="s">
        <v>156</v>
      </c>
      <c r="D89">
        <v>117</v>
      </c>
      <c r="E89">
        <v>4</v>
      </c>
      <c r="F89">
        <v>155</v>
      </c>
      <c r="G89" t="s">
        <v>160</v>
      </c>
    </row>
    <row r="90" spans="1:7" x14ac:dyDescent="0.3">
      <c r="A90" t="s">
        <v>94</v>
      </c>
      <c r="B90" t="s">
        <v>122</v>
      </c>
      <c r="C90" t="s">
        <v>152</v>
      </c>
      <c r="D90">
        <v>63</v>
      </c>
      <c r="E90">
        <v>19</v>
      </c>
      <c r="F90">
        <v>174</v>
      </c>
      <c r="G90" t="s">
        <v>158</v>
      </c>
    </row>
    <row r="91" spans="1:7" x14ac:dyDescent="0.3">
      <c r="A91" t="s">
        <v>95</v>
      </c>
      <c r="B91" t="s">
        <v>136</v>
      </c>
      <c r="C91" t="s">
        <v>154</v>
      </c>
      <c r="D91">
        <v>136</v>
      </c>
      <c r="E91">
        <v>19</v>
      </c>
      <c r="F91">
        <v>157</v>
      </c>
      <c r="G91" t="s">
        <v>158</v>
      </c>
    </row>
    <row r="92" spans="1:7" x14ac:dyDescent="0.3">
      <c r="A92" t="s">
        <v>96</v>
      </c>
      <c r="B92" t="s">
        <v>125</v>
      </c>
      <c r="C92" t="s">
        <v>152</v>
      </c>
      <c r="D92">
        <v>123</v>
      </c>
      <c r="E92">
        <v>6</v>
      </c>
      <c r="F92">
        <v>162</v>
      </c>
      <c r="G92" t="s">
        <v>158</v>
      </c>
    </row>
    <row r="93" spans="1:7" x14ac:dyDescent="0.3">
      <c r="A93" t="s">
        <v>97</v>
      </c>
      <c r="B93" t="s">
        <v>120</v>
      </c>
      <c r="C93" t="s">
        <v>155</v>
      </c>
      <c r="D93">
        <v>142</v>
      </c>
      <c r="E93">
        <v>14</v>
      </c>
      <c r="F93">
        <v>175</v>
      </c>
      <c r="G93" t="s">
        <v>160</v>
      </c>
    </row>
    <row r="94" spans="1:7" x14ac:dyDescent="0.3">
      <c r="A94" t="s">
        <v>98</v>
      </c>
      <c r="B94" t="s">
        <v>128</v>
      </c>
      <c r="C94" t="s">
        <v>157</v>
      </c>
      <c r="D94">
        <v>95</v>
      </c>
      <c r="E94">
        <v>15</v>
      </c>
      <c r="F94">
        <v>190</v>
      </c>
      <c r="G94" t="s">
        <v>158</v>
      </c>
    </row>
    <row r="95" spans="1:7" x14ac:dyDescent="0.3">
      <c r="A95" t="s">
        <v>99</v>
      </c>
      <c r="B95" t="s">
        <v>150</v>
      </c>
      <c r="C95" t="s">
        <v>153</v>
      </c>
      <c r="D95">
        <v>136</v>
      </c>
      <c r="E95">
        <v>9</v>
      </c>
      <c r="F95">
        <v>179</v>
      </c>
      <c r="G95" t="s">
        <v>159</v>
      </c>
    </row>
    <row r="96" spans="1:7" x14ac:dyDescent="0.3">
      <c r="A96" t="s">
        <v>100</v>
      </c>
      <c r="B96" t="s">
        <v>112</v>
      </c>
      <c r="C96" t="s">
        <v>157</v>
      </c>
      <c r="D96">
        <v>137</v>
      </c>
      <c r="E96">
        <v>7</v>
      </c>
      <c r="F96">
        <v>158</v>
      </c>
      <c r="G96" t="s">
        <v>159</v>
      </c>
    </row>
    <row r="97" spans="1:7" x14ac:dyDescent="0.3">
      <c r="A97" t="s">
        <v>101</v>
      </c>
      <c r="B97" t="s">
        <v>151</v>
      </c>
      <c r="C97" t="s">
        <v>153</v>
      </c>
      <c r="D97">
        <v>152</v>
      </c>
      <c r="E97">
        <v>6</v>
      </c>
      <c r="F97">
        <v>142</v>
      </c>
      <c r="G97" t="s">
        <v>160</v>
      </c>
    </row>
    <row r="98" spans="1:7" x14ac:dyDescent="0.3">
      <c r="A98" t="s">
        <v>102</v>
      </c>
      <c r="B98" t="s">
        <v>109</v>
      </c>
      <c r="C98" t="s">
        <v>155</v>
      </c>
      <c r="D98">
        <v>63</v>
      </c>
      <c r="E98">
        <v>16</v>
      </c>
      <c r="F98">
        <v>170</v>
      </c>
      <c r="G98" t="s">
        <v>158</v>
      </c>
    </row>
    <row r="99" spans="1:7" x14ac:dyDescent="0.3">
      <c r="A99" t="s">
        <v>103</v>
      </c>
      <c r="B99" t="s">
        <v>137</v>
      </c>
      <c r="C99" t="s">
        <v>152</v>
      </c>
      <c r="D99">
        <v>114</v>
      </c>
      <c r="E99">
        <v>17</v>
      </c>
      <c r="F99">
        <v>171</v>
      </c>
      <c r="G99" t="s">
        <v>160</v>
      </c>
    </row>
    <row r="100" spans="1:7" x14ac:dyDescent="0.3">
      <c r="A100" t="s">
        <v>104</v>
      </c>
      <c r="B100" t="s">
        <v>119</v>
      </c>
      <c r="C100" t="s">
        <v>153</v>
      </c>
      <c r="D100">
        <v>154</v>
      </c>
      <c r="E100">
        <v>13</v>
      </c>
      <c r="F100">
        <v>143</v>
      </c>
      <c r="G100" t="s">
        <v>160</v>
      </c>
    </row>
    <row r="101" spans="1:7" x14ac:dyDescent="0.3">
      <c r="A101" t="s">
        <v>105</v>
      </c>
      <c r="B101" t="s">
        <v>115</v>
      </c>
      <c r="C101" t="s">
        <v>156</v>
      </c>
      <c r="D101">
        <v>145</v>
      </c>
      <c r="E101">
        <v>6</v>
      </c>
      <c r="F101">
        <v>182</v>
      </c>
      <c r="G101" t="s">
        <v>160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Harika B</dc:creator>
  <cp:lastModifiedBy>Harika B</cp:lastModifiedBy>
  <dcterms:created xsi:type="dcterms:W3CDTF">2025-09-13T09:26:55Z</dcterms:created>
  <dcterms:modified xsi:type="dcterms:W3CDTF">2025-09-19T13:09:46Z</dcterms:modified>
</cp:coreProperties>
</file>